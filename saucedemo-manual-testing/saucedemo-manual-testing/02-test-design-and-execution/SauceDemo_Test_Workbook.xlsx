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ashboard" sheetId="2" state="visible" r:id="rId4"/>
    <sheet name="Requirements" sheetId="3" state="visible" r:id="rId5"/>
    <sheet name="Test Cases" sheetId="4" state="visible" r:id="rId6"/>
    <sheet name="RTM" sheetId="5" state="visible" r:id="rId7"/>
    <sheet name="Defect Log" sheetId="6" state="visible" r:id="rId8"/>
    <sheet name="Retest &amp; Regression" sheetId="7" state="visible" r:id="rId9"/>
  </sheets>
  <definedNames>
    <definedName function="false" hidden="true" localSheetId="3" name="_xlnm._FilterDatabase" vbProcedure="false">'Test Cases'!$A$1:$P$41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<sst xmlns="http://schemas.openxmlformats.org/spreadsheetml/2006/main" count="675" uniqueCount="339">
  <si>
    <t xml:space="preserve">SauceDemo Manual Testing Workbook</t>
  </si>
  <si>
    <t xml:space="preserve">App under test: https://www.saucedemo.com   |   Password for all users: secret_sauce</t>
  </si>
  <si>
    <t xml:space="preserve">Users: standard_user, locked_out_user, problem_user, performance_glitch_user, error_user, visual_user</t>
  </si>
  <si>
    <t xml:space="preserve">HOW TO USE</t>
  </si>
  <si>
    <t xml:space="preserve">1. Yellow cells (Test Cases columns K to P, Defect Log, Retest sheet) are the ones YOU fill in. Everything else is pre-filled or calculated.</t>
  </si>
  <si>
    <t xml:space="preserve">2. Execute each case in 'Test Cases'. Fill Actual Result, set Status (Pass / Fail / Blocked / Not Run), add Defect ID if it failed, then Executed By and Date.</t>
  </si>
  <si>
    <t xml:space="preserve">3. The RTM and Dashboard sheets update automatically from Test Cases and Defect Log. Do not type in them (except RTM column G, Defect IDs).</t>
  </si>
  <si>
    <t xml:space="preserve">4. Expected Results were written from observed SauceDemo behaviour plus assumed requirements (see Requirements sheet). If the app behaves differently, that is a candidate defect, but verify before logging.</t>
  </si>
  <si>
    <t xml:space="preserve">5. For regression: after retesting defects, re-run the cases and fill 'Regression Result' (column O) and 'Regression Date' (column P).</t>
  </si>
  <si>
    <t xml:space="preserve">6. Delete the grey example row in Defect Log (SD-EXAMPLE) before final submission, or leave it; the Dashboard ignores it.</t>
  </si>
  <si>
    <t xml:space="preserve">SEVERITY: Critical = blocks main flow | Major = major feature broken, workaround exists | Minor = small functional issue | Trivial = cosmetic</t>
  </si>
  <si>
    <t xml:space="preserve">PRIORITY: High = fix first | Medium = fix in this cycle | Low = can wait</t>
  </si>
  <si>
    <t xml:space="preserve">TEST EXECUTION SUMMARY</t>
  </si>
  <si>
    <t xml:space="preserve">Total test cases</t>
  </si>
  <si>
    <t xml:space="preserve">Passed</t>
  </si>
  <si>
    <t xml:space="preserve">Failed</t>
  </si>
  <si>
    <t xml:space="preserve">Blocked</t>
  </si>
  <si>
    <t xml:space="preserve">Not Run</t>
  </si>
  <si>
    <t xml:space="preserve">Executed</t>
  </si>
  <si>
    <t xml:space="preserve">Pass % (of executed)</t>
  </si>
  <si>
    <t xml:space="preserve">Execution progress %</t>
  </si>
  <si>
    <t xml:space="preserve">BY TEST TYPE (total)</t>
  </si>
  <si>
    <t xml:space="preserve">Positive</t>
  </si>
  <si>
    <t xml:space="preserve">Negative</t>
  </si>
  <si>
    <t xml:space="preserve">Boundary</t>
  </si>
  <si>
    <t xml:space="preserve">DEFECTS</t>
  </si>
  <si>
    <t xml:space="preserve">Total defects logged</t>
  </si>
  <si>
    <t xml:space="preserve">Severity: Critical</t>
  </si>
  <si>
    <t xml:space="preserve">Severity: Major</t>
  </si>
  <si>
    <t xml:space="preserve">Severity: Minor</t>
  </si>
  <si>
    <t xml:space="preserve">Severity: Trivial</t>
  </si>
  <si>
    <t xml:space="preserve">Status: Open</t>
  </si>
  <si>
    <t xml:space="preserve">Status: In Progress</t>
  </si>
  <si>
    <t xml:space="preserve">Status: Ready for Retest</t>
  </si>
  <si>
    <t xml:space="preserve">Status: Closed</t>
  </si>
  <si>
    <t xml:space="preserve">Status: Reopened</t>
  </si>
  <si>
    <t xml:space="preserve">REGRESSION</t>
  </si>
  <si>
    <t xml:space="preserve">Regression passed</t>
  </si>
  <si>
    <t xml:space="preserve">Regression failed</t>
  </si>
  <si>
    <t xml:space="preserve">Regression executed %</t>
  </si>
  <si>
    <t xml:space="preserve">REQUIREMENTS COVERAGE</t>
  </si>
  <si>
    <t xml:space="preserve">Requirements covered %</t>
  </si>
  <si>
    <t xml:space="preserve">Req ID</t>
  </si>
  <si>
    <t xml:space="preserve">Module</t>
  </si>
  <si>
    <t xml:space="preserve">Requirement</t>
  </si>
  <si>
    <t xml:space="preserve">REQ-01</t>
  </si>
  <si>
    <t xml:space="preserve">Authentication</t>
  </si>
  <si>
    <t xml:space="preserve">A registered user can log in with a valid username and password; password is masked</t>
  </si>
  <si>
    <t xml:space="preserve">REQ-02</t>
  </si>
  <si>
    <t xml:space="preserve">Login is rejected for invalid credentials with a clear error message</t>
  </si>
  <si>
    <t xml:space="preserve">REQ-03</t>
  </si>
  <si>
    <t xml:space="preserve">A locked-out user cannot log in and sees a specific error</t>
  </si>
  <si>
    <t xml:space="preserve">REQ-04</t>
  </si>
  <si>
    <t xml:space="preserve">Username and password are mandatory fields</t>
  </si>
  <si>
    <t xml:space="preserve">REQ-05</t>
  </si>
  <si>
    <t xml:space="preserve">Inventory</t>
  </si>
  <si>
    <t xml:space="preserve">Inventory page displays all products with name, price, image and description</t>
  </si>
  <si>
    <t xml:space="preserve">REQ-06</t>
  </si>
  <si>
    <t xml:space="preserve">Products can be sorted by name and price in both directions</t>
  </si>
  <si>
    <t xml:space="preserve">REQ-07</t>
  </si>
  <si>
    <t xml:space="preserve">Cart</t>
  </si>
  <si>
    <t xml:space="preserve">A user can add a product to the cart and the cart badge updates</t>
  </si>
  <si>
    <t xml:space="preserve">REQ-08</t>
  </si>
  <si>
    <t xml:space="preserve">A user can remove a product from the inventory page or the cart page</t>
  </si>
  <si>
    <t xml:space="preserve">REQ-09</t>
  </si>
  <si>
    <t xml:space="preserve">Cart page lists selected products with correct name, quantity and price; user can navigate back</t>
  </si>
  <si>
    <t xml:space="preserve">REQ-10</t>
  </si>
  <si>
    <t xml:space="preserve">Checkout</t>
  </si>
  <si>
    <t xml:space="preserve">Checkout requires first name, last name and postal code with clear validation messages</t>
  </si>
  <si>
    <t xml:space="preserve">REQ-11</t>
  </si>
  <si>
    <t xml:space="preserve">Order overview shows correct item total, tax (8%) and grand total</t>
  </si>
  <si>
    <t xml:space="preserve">REQ-12</t>
  </si>
  <si>
    <t xml:space="preserve">A user can complete an order and see a confirmation</t>
  </si>
  <si>
    <t xml:space="preserve">REQ-13</t>
  </si>
  <si>
    <t xml:space="preserve">Session</t>
  </si>
  <si>
    <t xml:space="preserve">A user can log out and the session ends</t>
  </si>
  <si>
    <t xml:space="preserve">REQ-14</t>
  </si>
  <si>
    <t xml:space="preserve">'Reset App State' clears the cart</t>
  </si>
  <si>
    <t xml:space="preserve">REQ-15</t>
  </si>
  <si>
    <t xml:space="preserve">Cart contents persist while navigating between pages</t>
  </si>
  <si>
    <t xml:space="preserve">REQ-16</t>
  </si>
  <si>
    <t xml:space="preserve">Security</t>
  </si>
  <si>
    <t xml:space="preserve">Direct URL access to inner pages without login is blocked</t>
  </si>
  <si>
    <t xml:space="preserve">REQ-17</t>
  </si>
  <si>
    <t xml:space="preserve">Checkout cannot be started with an empty cart (assumed requirement)</t>
  </si>
  <si>
    <t xml:space="preserve">Note: SauceDemo has no published spec. These requirements were reverse-engineered from observed behaviour; REQ-17 is an assumed requirement.</t>
  </si>
  <si>
    <t xml:space="preserve">TC ID</t>
  </si>
  <si>
    <t xml:space="preserve">Title</t>
  </si>
  <si>
    <t xml:space="preserve">Type</t>
  </si>
  <si>
    <t xml:space="preserve">Priority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</si>
  <si>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</si>
  <si>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</si>
  <si>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</si>
  <si>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</si>
  <si>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</si>
  <si>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</si>
  <si>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Defect ID</t>
  </si>
  <si>
    <t xml:space="preserve">Executed By</t>
  </si>
  <si>
    <t xml:space="preserve">Regression Result</t>
  </si>
  <si>
    <t xml:space="preserve">Regression Date</t>
  </si>
  <si>
    <t xml:space="preserve">TC01</t>
  </si>
  <si>
    <t xml:space="preserve">Login</t>
  </si>
  <si>
    <t xml:space="preserve">Login with valid standard_user</t>
  </si>
  <si>
    <t xml:space="preserve">High</t>
  </si>
  <si>
    <t xml:space="preserve">None</t>
  </si>
  <si>
    <t xml:space="preserve">1. Open https://www.saucedemo.com
2. Enter username
3. Enter password
4. Click Login</t>
  </si>
  <si>
    <t xml:space="preserve">standard_user / secret_sauce</t>
  </si>
  <si>
    <t xml:space="preserve">Redirected to /inventory.html; 'Products' header and 6 items visible.</t>
  </si>
  <si>
    <t xml:space="preserve">TC02</t>
  </si>
  <si>
    <t xml:space="preserve">Login with valid username and wrong password</t>
  </si>
  <si>
    <t xml:space="preserve">standard_user / wrong_pass</t>
  </si>
  <si>
    <t xml:space="preserve">Stays on login page. Error shown: 'Epic sadface: Username and password do not match any user in this service'. Fields highlighted red.</t>
  </si>
  <si>
    <t xml:space="preserve">TC03</t>
  </si>
  <si>
    <t xml:space="preserve">Login with unregistered username</t>
  </si>
  <si>
    <t xml:space="preserve">invalid_user / secret_sauce</t>
  </si>
  <si>
    <t xml:space="preserve">TC04</t>
  </si>
  <si>
    <t xml:space="preserve">Login with empty username</t>
  </si>
  <si>
    <t xml:space="preserve">1. Open https://www.saucedemo.com
2. Leave username empty
3. Enter password
4. Click Login</t>
  </si>
  <si>
    <t xml:space="preserve">(empty) / secret_sauce</t>
  </si>
  <si>
    <t xml:space="preserve">Error: 'Epic sadface: Username is required'.</t>
  </si>
  <si>
    <t xml:space="preserve">TC05</t>
  </si>
  <si>
    <t xml:space="preserve">Login with empty password</t>
  </si>
  <si>
    <t xml:space="preserve">1. Open https://www.saucedemo.com
2. Enter username
3. Leave password empty
4. Click Login</t>
  </si>
  <si>
    <t xml:space="preserve">standard_user / (empty)</t>
  </si>
  <si>
    <t xml:space="preserve">Error: 'Epic sadface: Password is required'.</t>
  </si>
  <si>
    <t xml:space="preserve">TC06</t>
  </si>
  <si>
    <t xml:space="preserve">Login with both fields empty</t>
  </si>
  <si>
    <t xml:space="preserve">Medium</t>
  </si>
  <si>
    <t xml:space="preserve">1. Open https://www.saucedemo.com
2. Leave both fields empty
3. Click Login</t>
  </si>
  <si>
    <t xml:space="preserve">(empty) / (empty)</t>
  </si>
  <si>
    <t xml:space="preserve">TC07</t>
  </si>
  <si>
    <t xml:space="preserve">Login with locked_out_user</t>
  </si>
  <si>
    <t xml:space="preserve">locked_out_user / secret_sauce</t>
  </si>
  <si>
    <t xml:space="preserve">Login blocked. Error: 'Epic sadface: Sorry, this user has been locked out.'</t>
  </si>
  <si>
    <t xml:space="preserve">TC08</t>
  </si>
  <si>
    <t xml:space="preserve">Username is case-sensitive</t>
  </si>
  <si>
    <t xml:space="preserve">STANDARD_USER / secret_sauce</t>
  </si>
  <si>
    <t xml:space="preserve">TC09</t>
  </si>
  <si>
    <t xml:space="preserve">Password field masks input</t>
  </si>
  <si>
    <t xml:space="preserve">1. Open https://www.saucedemo.com
2. Type text into the password field
3. Observe the characters</t>
  </si>
  <si>
    <t xml:space="preserve">secret_sauce</t>
  </si>
  <si>
    <t xml:space="preserve">Characters appear as dots/asterisks, never as plain text.</t>
  </si>
  <si>
    <t xml:space="preserve">TC10</t>
  </si>
  <si>
    <t xml:space="preserve">Username with leading and trailing spaces</t>
  </si>
  <si>
    <t xml:space="preserve">Low</t>
  </si>
  <si>
    <t xml:space="preserve">' standard_user ' (spaces around) / secret_sauce</t>
  </si>
  <si>
    <t xml:space="preserve">Login rejected with the mismatch error (no silent trimming), or accepted consistently. Record actual behaviour.</t>
  </si>
  <si>
    <t xml:space="preserve">TC11</t>
  </si>
  <si>
    <t xml:space="preserve">Very long username (256 characters)</t>
  </si>
  <si>
    <t xml:space="preserve">256 x 'a' / secret_sauce</t>
  </si>
  <si>
    <t xml:space="preserve">Mismatch error shown. No crash, no layout break, no frozen page.</t>
  </si>
  <si>
    <t xml:space="preserve">TC12</t>
  </si>
  <si>
    <t xml:space="preserve">SQL/special characters in username and password</t>
  </si>
  <si>
    <t xml:space="preserve">' OR 1=1 -- / ' OR 1=1 --</t>
  </si>
  <si>
    <t xml:space="preserve">Login rejected with mismatch error. No access granted, no unexpected error page.</t>
  </si>
  <si>
    <t xml:space="preserve">TC13</t>
  </si>
  <si>
    <t xml:space="preserve">Login error message can be dismissed</t>
  </si>
  <si>
    <t xml:space="preserve">An error is displayed (run TC02)</t>
  </si>
  <si>
    <t xml:space="preserve">1. Trigger a login error
2. Click the X on the error banner</t>
  </si>
  <si>
    <t xml:space="preserve">Any invalid login</t>
  </si>
  <si>
    <t xml:space="preserve">Banner closes and the red highlight on the fields is removed.</t>
  </si>
  <si>
    <t xml:space="preserve">TC14</t>
  </si>
  <si>
    <t xml:space="preserve">Access</t>
  </si>
  <si>
    <t xml:space="preserve">Open inventory page directly without logging in</t>
  </si>
  <si>
    <t xml:space="preserve">User is logged out; no session</t>
  </si>
  <si>
    <t xml:space="preserve">1. Open https://www.saucedemo.com/inventory.html in a fresh/incognito window</t>
  </si>
  <si>
    <t xml:space="preserve">Redirected to login. Error: "Epic sadface: You can only access '/inventory.html' when you are logged in."</t>
  </si>
  <si>
    <t xml:space="preserve">TC15</t>
  </si>
  <si>
    <t xml:space="preserve">All 6 products show image, name, description, price</t>
  </si>
  <si>
    <t xml:space="preserve">Logged in as standard_user</t>
  </si>
  <si>
    <t xml:space="preserve">1. Login
2. Review each product tile</t>
  </si>
  <si>
    <t xml:space="preserve">standard_user</t>
  </si>
  <si>
    <t xml:space="preserve">6 products shown; each has an image, name, description, price in $ and an 'Add to cart' button.</t>
  </si>
  <si>
    <t xml:space="preserve">TC16</t>
  </si>
  <si>
    <t xml:space="preserve">Sort by Name (A to Z)</t>
  </si>
  <si>
    <t xml:space="preserve">1. Open the sort dropdown
2. Select 'Name (A to Z)'</t>
  </si>
  <si>
    <t xml:space="preserve">Order: Backpack, Bike Light, Bolt T-Shirt, Fleece Jacket, Onesie, Test.allTheThings() T-Shirt (Red).</t>
  </si>
  <si>
    <t xml:space="preserve">TC17</t>
  </si>
  <si>
    <t xml:space="preserve">Sort by Name (Z to A)</t>
  </si>
  <si>
    <t xml:space="preserve">1. Open the sort dropdown
2. Select 'Name (Z to A)'</t>
  </si>
  <si>
    <t xml:space="preserve">Exact reverse of the A to Z order.</t>
  </si>
  <si>
    <t xml:space="preserve">TC18</t>
  </si>
  <si>
    <t xml:space="preserve">Sort by Price (low to high)</t>
  </si>
  <si>
    <t xml:space="preserve">1. Open the sort dropdown
2. Select 'Price (low to high)'</t>
  </si>
  <si>
    <t xml:space="preserve">Prices ascending: 7.99, 9.99, 15.99, 15.99, 29.99, 49.99.</t>
  </si>
  <si>
    <t xml:space="preserve">TC19</t>
  </si>
  <si>
    <t xml:space="preserve">Sort by Price (high to low)</t>
  </si>
  <si>
    <t xml:space="preserve">1. Open the sort dropdown
2. Select 'Price (high to low)'</t>
  </si>
  <si>
    <t xml:space="preserve">Prices descending: 49.99, 29.99, 15.99, 15.99, 9.99, 7.99.</t>
  </si>
  <si>
    <t xml:space="preserve">TC20</t>
  </si>
  <si>
    <t xml:space="preserve">Open product details page</t>
  </si>
  <si>
    <t xml:space="preserve">1. Click a product name
2. Compare details with inventory tile
3. Click 'Back to products'</t>
  </si>
  <si>
    <t xml:space="preserve">Sauce Labs Backpack</t>
  </si>
  <si>
    <t xml:space="preserve">Details page shows same name, description, price and image as the tile. Back returns to inventory.</t>
  </si>
  <si>
    <t xml:space="preserve">TC21</t>
  </si>
  <si>
    <t xml:space="preserve">Add one item to cart</t>
  </si>
  <si>
    <t xml:space="preserve">Logged in as standard_user; cart empty</t>
  </si>
  <si>
    <t xml:space="preserve">1. Click 'Add to cart' on Sauce Labs Backpack</t>
  </si>
  <si>
    <t xml:space="preserve">Backpack</t>
  </si>
  <si>
    <t xml:space="preserve">Cart badge shows 1; button changes to 'Remove'.</t>
  </si>
  <si>
    <t xml:space="preserve">TC22</t>
  </si>
  <si>
    <t xml:space="preserve">Add all 6 items to cart</t>
  </si>
  <si>
    <t xml:space="preserve">1. Click 'Add to cart' on every product</t>
  </si>
  <si>
    <t xml:space="preserve">All 6 products</t>
  </si>
  <si>
    <t xml:space="preserve">Badge shows 6; all buttons show 'Remove'; cart lists 6 items.</t>
  </si>
  <si>
    <t xml:space="preserve">TC23</t>
  </si>
  <si>
    <t xml:space="preserve">Remove item from inventory page</t>
  </si>
  <si>
    <t xml:space="preserve">One item in cart</t>
  </si>
  <si>
    <t xml:space="preserve">1. Click 'Remove' on the added product</t>
  </si>
  <si>
    <t xml:space="preserve">Badge disappears; button reverts to 'Add to cart'.</t>
  </si>
  <si>
    <t xml:space="preserve">TC24</t>
  </si>
  <si>
    <t xml:space="preserve">Remove item from cart page</t>
  </si>
  <si>
    <t xml:space="preserve">Two items in cart</t>
  </si>
  <si>
    <t xml:space="preserve">1. Click cart icon
2. Click 'Remove' on one item</t>
  </si>
  <si>
    <t xml:space="preserve">Backpack + Bike Light</t>
  </si>
  <si>
    <t xml:space="preserve">Item removed from the list; badge shows 1.</t>
  </si>
  <si>
    <t xml:space="preserve">TC25</t>
  </si>
  <si>
    <t xml:space="preserve">Cart persists across page navigation</t>
  </si>
  <si>
    <t xml:space="preserve">1. Open a product details page
2. Click back to products
3. Open the cart</t>
  </si>
  <si>
    <t xml:space="preserve">Both items still in the cart; badge still shows 2 on every page.</t>
  </si>
  <si>
    <t xml:space="preserve">TC26</t>
  </si>
  <si>
    <t xml:space="preserve">Proceed to checkout with an empty cart</t>
  </si>
  <si>
    <t xml:space="preserve">Logged in; cart empty</t>
  </si>
  <si>
    <t xml:space="preserve">1. Click cart icon
2. Click 'Checkout'</t>
  </si>
  <si>
    <t xml:space="preserve">System blocks checkout with a message (assumed requirement). Record actual behaviour.</t>
  </si>
  <si>
    <t xml:space="preserve">TC27</t>
  </si>
  <si>
    <t xml:space="preserve">Complete a valid end-to-end order</t>
  </si>
  <si>
    <t xml:space="preserve">1. Add Backpack
2. Open cart, click Checkout
3. Enter first name, last name, zip
4. Click Continue
5. Click Finish</t>
  </si>
  <si>
    <t xml:space="preserve">John / Doe / 500081</t>
  </si>
  <si>
    <t xml:space="preserve">'Thank you for your order!' confirmation shown; cart badge cleared; 'Back Home' returns to inventory.</t>
  </si>
  <si>
    <t xml:space="preserve">TC28</t>
  </si>
  <si>
    <t xml:space="preserve">Checkout with empty first name</t>
  </si>
  <si>
    <t xml:space="preserve">One item in cart; on checkout step one</t>
  </si>
  <si>
    <t xml:space="preserve">1. Leave first name empty
2. Fill last name and zip
3. Click Continue</t>
  </si>
  <si>
    <t xml:space="preserve">(empty) / Doe / 500081</t>
  </si>
  <si>
    <t xml:space="preserve">Error: 'Error: First Name is required'. Does not proceed.</t>
  </si>
  <si>
    <t xml:space="preserve">TC29</t>
  </si>
  <si>
    <t xml:space="preserve">Checkout with empty last name</t>
  </si>
  <si>
    <t xml:space="preserve">1. Fill first name
2. Leave last name empty
3. Fill zip, Continue</t>
  </si>
  <si>
    <t xml:space="preserve">John / (empty) / 500081</t>
  </si>
  <si>
    <t xml:space="preserve">Error: 'Error: Last Name is required'. Does not proceed.</t>
  </si>
  <si>
    <t xml:space="preserve">TC30</t>
  </si>
  <si>
    <t xml:space="preserve">Checkout with empty postal code</t>
  </si>
  <si>
    <t xml:space="preserve">1. Fill first and last name
2. Leave zip empty
3. Click Continue</t>
  </si>
  <si>
    <t xml:space="preserve">John / Doe / (empty)</t>
  </si>
  <si>
    <t xml:space="preserve">Error: 'Error: Postal Code is required'. Does not proceed.</t>
  </si>
  <si>
    <t xml:space="preserve">TC31</t>
  </si>
  <si>
    <t xml:space="preserve">Special characters and digits in name fields</t>
  </si>
  <si>
    <t xml:space="preserve">1. Enter special characters in names and letters in zip
2. Click Continue</t>
  </si>
  <si>
    <t xml:space="preserve">J0hn@#$ / D03!* / ABCDE</t>
  </si>
  <si>
    <t xml:space="preserve">Assumed requirement: invalid characters rejected with a clear message. Record actual behaviour.</t>
  </si>
  <si>
    <t xml:space="preserve">TC32</t>
  </si>
  <si>
    <t xml:space="preserve">Very long input in all checkout fields</t>
  </si>
  <si>
    <t xml:space="preserve">1. Enter 300 characters in each field
2. Click Continue</t>
  </si>
  <si>
    <t xml:space="preserve">300 x 'a' in each field</t>
  </si>
  <si>
    <t xml:space="preserve">No crash or layout break; either validation message or overview page renders correctly.</t>
  </si>
  <si>
    <t xml:space="preserve">TC33</t>
  </si>
  <si>
    <t xml:space="preserve">Item total, tax and total are calculated correctly</t>
  </si>
  <si>
    <t xml:space="preserve">1. Add Backpack and Bike Light
2. Complete checkout step one
3. Read the overview page</t>
  </si>
  <si>
    <t xml:space="preserve">Backpack 29.99 + Bike Light 9.99</t>
  </si>
  <si>
    <t xml:space="preserve">Item total $39.98; Tax $3.20 (8%); Total $43.18.</t>
  </si>
  <si>
    <t xml:space="preserve">TC34</t>
  </si>
  <si>
    <t xml:space="preserve">Cancel on checkout step one returns to cart</t>
  </si>
  <si>
    <t xml:space="preserve">On checkout step one with items in cart</t>
  </si>
  <si>
    <t xml:space="preserve">1. Click 'Cancel'</t>
  </si>
  <si>
    <t xml:space="preserve">Returns to cart page; items unchanged.</t>
  </si>
  <si>
    <t xml:space="preserve">TC35</t>
  </si>
  <si>
    <t xml:space="preserve">Logout ends the session</t>
  </si>
  <si>
    <t xml:space="preserve">1. Open menu, click 'Logout'
2. Click browser Back button</t>
  </si>
  <si>
    <t xml:space="preserve">Login page shown. After Back, inventory is NOT accessible (redirect with error).</t>
  </si>
  <si>
    <t xml:space="preserve">TC36</t>
  </si>
  <si>
    <t xml:space="preserve">Reset App State clears the cart</t>
  </si>
  <si>
    <t xml:space="preserve">1. Open menu
2. Click 'Reset App State'
3. Check badge, inventory buttons and cart</t>
  </si>
  <si>
    <t xml:space="preserve">Badge cleared; all buttons show 'Add to cart'; cart is empty.</t>
  </si>
  <si>
    <t xml:space="preserve">TC37</t>
  </si>
  <si>
    <t xml:space="preserve">problem_user: product images are correct</t>
  </si>
  <si>
    <t xml:space="preserve">1. Open https://www.saucedemo.com
2. Enter username
3. Enter password
4. Click Login
5. Compare every product image with its name</t>
  </si>
  <si>
    <t xml:space="preserve">problem_user / secret_sauce</t>
  </si>
  <si>
    <t xml:space="preserve">Each product shows its own correct image.</t>
  </si>
  <si>
    <t xml:space="preserve">TC38</t>
  </si>
  <si>
    <t xml:space="preserve">problem_user: sorting works</t>
  </si>
  <si>
    <t xml:space="preserve">Logged in as problem_user</t>
  </si>
  <si>
    <t xml:space="preserve">1. Select 'Name (Z to A)'
2. Select 'Price (low to high)'</t>
  </si>
  <si>
    <t xml:space="preserve">problem_user</t>
  </si>
  <si>
    <t xml:space="preserve">List re-orders correctly each time.</t>
  </si>
  <si>
    <t xml:space="preserve">TC39</t>
  </si>
  <si>
    <t xml:space="preserve">problem_user: checkout step one retains entered data</t>
  </si>
  <si>
    <t xml:space="preserve">Logged in as problem_user; one item in cart</t>
  </si>
  <si>
    <t xml:space="preserve">1. Go to checkout step one
2. Enter first, last name and zip
3. Click Continue</t>
  </si>
  <si>
    <t xml:space="preserve">Each field keeps what was typed; user reaches the overview page.</t>
  </si>
  <si>
    <t xml:space="preserve">TC40</t>
  </si>
  <si>
    <t xml:space="preserve">error_user: add and remove all items</t>
  </si>
  <si>
    <t xml:space="preserve">Logged in as error_user; cart empty</t>
  </si>
  <si>
    <t xml:space="preserve">1. Add all 6 products
2. Remove each product from the inventory page</t>
  </si>
  <si>
    <t xml:space="preserve">error_user</t>
  </si>
  <si>
    <t xml:space="preserve">Every add and remove action works with no error and the badge updates correctly.</t>
  </si>
  <si>
    <t xml:space="preserve">Test Case IDs</t>
  </si>
  <si>
    <t xml:space="preserve">Coverage (# TCs)</t>
  </si>
  <si>
    <t xml:space="preserve">Not Run / Blocked</t>
  </si>
  <si>
    <t xml:space="preserve">RTM Status</t>
  </si>
  <si>
    <t xml:space="preserve">Defect IDs (type manually)</t>
  </si>
  <si>
    <t xml:space="preserve">TC01, TC09</t>
  </si>
  <si>
    <t xml:space="preserve">TC02, TC03, TC08, TC10, TC11, TC12, TC13</t>
  </si>
  <si>
    <t xml:space="preserve">TC04, TC05, TC06</t>
  </si>
  <si>
    <t xml:space="preserve">TC15, TC20, TC37</t>
  </si>
  <si>
    <t xml:space="preserve">TC16, TC17, TC18, TC19, TC38</t>
  </si>
  <si>
    <t xml:space="preserve">TC21, TC22</t>
  </si>
  <si>
    <t xml:space="preserve">TC23, TC24, TC40</t>
  </si>
  <si>
    <t xml:space="preserve">TC28, TC29, TC30, TC31, TC32, TC39</t>
  </si>
  <si>
    <t xml:space="preserve">Requirements with zero coverage:</t>
  </si>
  <si>
    <t xml:space="preserve">Requirements covered (%):</t>
  </si>
  <si>
    <t xml:space="preserve">Summary</t>
  </si>
  <si>
    <t xml:space="preserve">Linked TC</t>
  </si>
  <si>
    <t xml:space="preserve">Reproduced As (user)</t>
  </si>
  <si>
    <t xml:space="preserve">Severity</t>
  </si>
  <si>
    <t xml:space="preserve">Environment</t>
  </si>
  <si>
    <t xml:space="preserve">Steps to Reproduce</t>
  </si>
  <si>
    <t xml:space="preserve">Screenshot File</t>
  </si>
  <si>
    <t xml:space="preserve">Date Logged</t>
  </si>
  <si>
    <t xml:space="preserve">Retest Result</t>
  </si>
  <si>
    <t xml:space="preserve">SD-EXAMPLE</t>
  </si>
  <si>
    <t xml:space="preserve">[Inventory] Sort does nothing for problem_user (EXAMPLE ROW)</t>
  </si>
  <si>
    <t xml:space="preserve">Major</t>
  </si>
  <si>
    <t xml:space="preserve">Open</t>
  </si>
  <si>
    <t xml:space="preserve">Chrome (latest), Windows 11, saucedemo.com</t>
  </si>
  <si>
    <t xml:space="preserve">1. Login as problem_user
2. Open sort dropdown
3. Select 'Name (Z to A)'</t>
  </si>
  <si>
    <t xml:space="preserve">Products re-order Z to A</t>
  </si>
  <si>
    <t xml:space="preserve">Order does not change</t>
  </si>
  <si>
    <t xml:space="preserve">screenshots/SD-EXAMPLE.png</t>
  </si>
  <si>
    <t xml:space="preserve">Retest Steps (same as defect)</t>
  </si>
  <si>
    <t xml:space="preserve">Build / User Used</t>
  </si>
  <si>
    <t xml:space="preserve">Retest Date</t>
  </si>
  <si>
    <t xml:space="preserve">Final Status</t>
  </si>
  <si>
    <t xml:space="preserve">Notes (e.g. why reopened)</t>
  </si>
  <si>
    <t xml:space="preserve">Repeat defect steps as standard_user (simulated fixed build)</t>
  </si>
  <si>
    <t xml:space="preserve">Pass</t>
  </si>
  <si>
    <t xml:space="preserve">Closed</t>
  </si>
  <si>
    <t xml:space="preserve">EXAMPLE ROW</t>
  </si>
  <si>
    <t xml:space="preserve">Regression pass results are recorded in 'Test Cases' columns O and P (Regression Result / Regression Date).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</si>
</sst>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%"/>
    <numFmt numFmtId="167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23.8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4" t="s">
        <v>12</v>
      </c>
      <c r="B1" s="5"/>
    </row>
    <row r="2" customFormat="false" ht="15" hidden="false" customHeight="false" outlineLevel="0" collapsed="false">
      <c r="A2" s="6" t="s">
        <v>13</v>
      </c>
      <c r="B2" s="6" t="n">
        <f aca="false">COUNTA('Test Cases'!A2:A41)</f>
        <v>40</v>
      </c>
    </row>
    <row r="3" customFormat="false" ht="15" hidden="false" customHeight="false" outlineLevel="0" collapsed="false">
      <c r="A3" s="6" t="s">
        <v>14</v>
      </c>
      <c r="B3" s="6" t="n">
        <f aca="false">COUNTIF('Test Cases'!$L$2:$L$41,"Pass")</f>
        <v>0</v>
      </c>
    </row>
    <row r="4" customFormat="false" ht="15" hidden="false" customHeight="false" outlineLevel="0" collapsed="false">
      <c r="A4" s="6" t="s">
        <v>15</v>
      </c>
      <c r="B4" s="6" t="n">
        <f aca="false">COUNTIF('Test Cases'!$L$2:$L$41,"Fail")</f>
        <v>0</v>
      </c>
    </row>
    <row r="5" customFormat="false" ht="15" hidden="false" customHeight="false" outlineLevel="0" collapsed="false">
      <c r="A5" s="6" t="s">
        <v>16</v>
      </c>
      <c r="B5" s="6" t="n">
        <f aca="false">COUNTIF('Test Cases'!$L$2:$L$41,"Blocked")</f>
        <v>0</v>
      </c>
    </row>
    <row r="6" customFormat="false" ht="15" hidden="false" customHeight="false" outlineLevel="0" collapsed="false">
      <c r="A6" s="6" t="s">
        <v>17</v>
      </c>
      <c r="B6" s="6" t="n">
        <f aca="false">COUNTIF('Test Cases'!$L$2:$L$41,"Not Run")</f>
        <v>40</v>
      </c>
    </row>
    <row r="7" customFormat="false" ht="15" hidden="false" customHeight="false" outlineLevel="0" collapsed="false">
      <c r="A7" s="6" t="s">
        <v>18</v>
      </c>
      <c r="B7" s="6" t="n">
        <f aca="false">B2-B6</f>
        <v>0</v>
      </c>
    </row>
    <row r="8" customFormat="false" ht="15" hidden="false" customHeight="false" outlineLevel="0" collapsed="false">
      <c r="A8" s="7" t="s">
        <v>19</v>
      </c>
      <c r="B8" s="8" t="n">
        <f aca="false">IF(B7=0,0,B3/B7)</f>
        <v>0</v>
      </c>
    </row>
    <row r="9" customFormat="false" ht="15" hidden="false" customHeight="false" outlineLevel="0" collapsed="false">
      <c r="A9" s="6" t="s">
        <v>20</v>
      </c>
      <c r="B9" s="9" t="n">
        <f aca="false">IF(B2=0,0,B7/B2)</f>
        <v>0</v>
      </c>
    </row>
    <row r="11" customFormat="false" ht="15" hidden="false" customHeight="false" outlineLevel="0" collapsed="false">
      <c r="A11" s="4" t="s">
        <v>21</v>
      </c>
      <c r="B11" s="5"/>
    </row>
    <row r="12" customFormat="false" ht="15" hidden="false" customHeight="false" outlineLevel="0" collapsed="false">
      <c r="A12" s="6" t="s">
        <v>22</v>
      </c>
      <c r="B12" s="6" t="n">
        <f aca="false">COUNTIF('Test Cases'!$E$2:$E$41,"Positive")</f>
        <v>22</v>
      </c>
    </row>
    <row r="13" customFormat="false" ht="15" hidden="false" customHeight="false" outlineLevel="0" collapsed="false">
      <c r="A13" s="6" t="s">
        <v>23</v>
      </c>
      <c r="B13" s="6" t="n">
        <f aca="false">COUNTIF('Test Cases'!$E$2:$E$41,"Negative")</f>
        <v>13</v>
      </c>
    </row>
    <row r="14" customFormat="false" ht="15" hidden="false" customHeight="false" outlineLevel="0" collapsed="false">
      <c r="A14" s="6" t="s">
        <v>24</v>
      </c>
      <c r="B14" s="6" t="n">
        <f aca="false">COUNTIF('Test Cases'!$E$2:$E$41,"Boundary")</f>
        <v>5</v>
      </c>
    </row>
    <row r="16" customFormat="false" ht="15" hidden="false" customHeight="false" outlineLevel="0" collapsed="false">
      <c r="A16" s="4" t="s">
        <v>25</v>
      </c>
      <c r="B16" s="5"/>
    </row>
    <row r="17" customFormat="false" ht="15" hidden="false" customHeight="false" outlineLevel="0" collapsed="false">
      <c r="A17" s="7" t="s">
        <v>26</v>
      </c>
      <c r="B17" s="7" t="n">
        <f aca="false">COUNTIFS('Defect Log'!$A$2:$A$60,"&lt;&gt;",'Defect Log'!$A$2:$A$60,"&lt;&gt;SD-EXAMPLE")</f>
        <v>0</v>
      </c>
    </row>
    <row r="18" customFormat="false" ht="15" hidden="false" customHeight="false" outlineLevel="0" collapsed="false">
      <c r="A18" s="6" t="s">
        <v>27</v>
      </c>
      <c r="B18" s="6" t="n">
        <f aca="false">COUNTIFS('Defect Log'!$A$2:$A$60,"&lt;&gt;SD-EXAMPLE",'Defect Log'!$F$2:$F$60,"Critical")</f>
        <v>0</v>
      </c>
    </row>
    <row r="19" customFormat="false" ht="15" hidden="false" customHeight="false" outlineLevel="0" collapsed="false">
      <c r="A19" s="6" t="s">
        <v>28</v>
      </c>
      <c r="B19" s="6" t="n">
        <f aca="false">COUNTIFS('Defect Log'!$A$2:$A$60,"&lt;&gt;SD-EXAMPLE",'Defect Log'!$F$2:$F$60,"Major")</f>
        <v>0</v>
      </c>
    </row>
    <row r="20" customFormat="false" ht="15" hidden="false" customHeight="false" outlineLevel="0" collapsed="false">
      <c r="A20" s="6" t="s">
        <v>29</v>
      </c>
      <c r="B20" s="6" t="n">
        <f aca="false">COUNTIFS('Defect Log'!$A$2:$A$60,"&lt;&gt;SD-EXAMPLE",'Defect Log'!$F$2:$F$60,"Minor")</f>
        <v>0</v>
      </c>
    </row>
    <row r="21" customFormat="false" ht="15" hidden="false" customHeight="false" outlineLevel="0" collapsed="false">
      <c r="A21" s="6" t="s">
        <v>30</v>
      </c>
      <c r="B21" s="6" t="n">
        <f aca="false">COUNTIFS('Defect Log'!$A$2:$A$60,"&lt;&gt;SD-EXAMPLE",'Defect Log'!$F$2:$F$60,"Trivial")</f>
        <v>0</v>
      </c>
    </row>
    <row r="22" customFormat="false" ht="15" hidden="false" customHeight="false" outlineLevel="0" collapsed="false">
      <c r="A22" s="6" t="s">
        <v>31</v>
      </c>
      <c r="B22" s="6" t="n">
        <f aca="false">COUNTIFS('Defect Log'!$A$2:$A$60,"&lt;&gt;SD-EXAMPLE",'Defect Log'!$H$2:$H$60,"Open")</f>
        <v>0</v>
      </c>
    </row>
    <row r="23" customFormat="false" ht="15" hidden="false" customHeight="false" outlineLevel="0" collapsed="false">
      <c r="A23" s="6" t="s">
        <v>32</v>
      </c>
      <c r="B23" s="6" t="n">
        <f aca="false">COUNTIFS('Defect Log'!$A$2:$A$60,"&lt;&gt;SD-EXAMPLE",'Defect Log'!$H$2:$H$60,"In Progress")</f>
        <v>0</v>
      </c>
    </row>
    <row r="24" customFormat="false" ht="15" hidden="false" customHeight="false" outlineLevel="0" collapsed="false">
      <c r="A24" s="6" t="s">
        <v>33</v>
      </c>
      <c r="B24" s="6" t="n">
        <f aca="false">COUNTIFS('Defect Log'!$A$2:$A$60,"&lt;&gt;SD-EXAMPLE",'Defect Log'!$H$2:$H$60,"Ready for Retest")</f>
        <v>0</v>
      </c>
    </row>
    <row r="25" customFormat="false" ht="15" hidden="false" customHeight="false" outlineLevel="0" collapsed="false">
      <c r="A25" s="6" t="s">
        <v>34</v>
      </c>
      <c r="B25" s="6" t="n">
        <f aca="false">COUNTIFS('Defect Log'!$A$2:$A$60,"&lt;&gt;SD-EXAMPLE",'Defect Log'!$H$2:$H$60,"Closed")</f>
        <v>0</v>
      </c>
    </row>
    <row r="26" customFormat="false" ht="15" hidden="false" customHeight="false" outlineLevel="0" collapsed="false">
      <c r="A26" s="6" t="s">
        <v>35</v>
      </c>
      <c r="B26" s="6" t="n">
        <f aca="false">COUNTIFS('Defect Log'!$A$2:$A$60,"&lt;&gt;SD-EXAMPLE",'Defect Log'!$H$2:$H$60,"Reopened")</f>
        <v>0</v>
      </c>
    </row>
    <row r="28" customFormat="false" ht="15" hidden="false" customHeight="false" outlineLevel="0" collapsed="false">
      <c r="A28" s="4" t="s">
        <v>36</v>
      </c>
      <c r="B28" s="5"/>
    </row>
    <row r="29" customFormat="false" ht="15" hidden="false" customHeight="false" outlineLevel="0" collapsed="false">
      <c r="A29" s="6" t="s">
        <v>37</v>
      </c>
      <c r="B29" s="6" t="n">
        <f aca="false">COUNTIF('Test Cases'!$O$2:$O$41,"Pass")</f>
        <v>0</v>
      </c>
    </row>
    <row r="30" customFormat="false" ht="15" hidden="false" customHeight="false" outlineLevel="0" collapsed="false">
      <c r="A30" s="6" t="s">
        <v>38</v>
      </c>
      <c r="B30" s="6" t="n">
        <f aca="false">COUNTIF('Test Cases'!$O$2:$O$41,"Fail")</f>
        <v>0</v>
      </c>
    </row>
    <row r="31" customFormat="false" ht="15" hidden="false" customHeight="false" outlineLevel="0" collapsed="false">
      <c r="A31" s="6" t="s">
        <v>39</v>
      </c>
      <c r="B31" s="9" t="n">
        <f aca="false">IF(B2=0,0,(B29+B30+COUNTIF('Test Cases'!$O$2:$O$41,"Blocked"))/B2)</f>
        <v>0</v>
      </c>
    </row>
    <row r="33" customFormat="false" ht="15" hidden="false" customHeight="false" outlineLevel="0" collapsed="false">
      <c r="A33" s="4" t="s">
        <v>40</v>
      </c>
      <c r="B33" s="5"/>
    </row>
    <row r="34" customFormat="false" ht="15" hidden="false" customHeight="false" outlineLevel="0" collapsed="false">
      <c r="A34" s="6" t="s">
        <v>41</v>
      </c>
      <c r="B34" s="10" t="n">
        <f aca="false">RTM!E21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95"/>
  </cols>
  <sheetData>
    <row r="1" customFormat="false" ht="15" hidden="false" customHeight="false" outlineLevel="0" collapsed="false">
      <c r="A1" s="11" t="s">
        <v>42</v>
      </c>
      <c r="B1" s="11" t="s">
        <v>43</v>
      </c>
      <c r="C1" s="11" t="s">
        <v>44</v>
      </c>
    </row>
    <row r="2" customFormat="false" ht="15" hidden="false" customHeight="false" outlineLevel="0" collapsed="false">
      <c r="A2" s="12" t="s">
        <v>45</v>
      </c>
      <c r="B2" s="12" t="s">
        <v>46</v>
      </c>
      <c r="C2" s="12" t="s">
        <v>47</v>
      </c>
    </row>
    <row r="3" customFormat="false" ht="15" hidden="false" customHeight="false" outlineLevel="0" collapsed="false">
      <c r="A3" s="12" t="s">
        <v>48</v>
      </c>
      <c r="B3" s="12" t="s">
        <v>46</v>
      </c>
      <c r="C3" s="12" t="s">
        <v>49</v>
      </c>
    </row>
    <row r="4" customFormat="false" ht="15" hidden="false" customHeight="false" outlineLevel="0" collapsed="false">
      <c r="A4" s="12" t="s">
        <v>50</v>
      </c>
      <c r="B4" s="12" t="s">
        <v>46</v>
      </c>
      <c r="C4" s="12" t="s">
        <v>51</v>
      </c>
    </row>
    <row r="5" customFormat="false" ht="15" hidden="false" customHeight="false" outlineLevel="0" collapsed="false">
      <c r="A5" s="12" t="s">
        <v>52</v>
      </c>
      <c r="B5" s="12" t="s">
        <v>46</v>
      </c>
      <c r="C5" s="12" t="s">
        <v>53</v>
      </c>
    </row>
    <row r="6" customFormat="false" ht="15" hidden="false" customHeight="false" outlineLevel="0" collapsed="false">
      <c r="A6" s="12" t="s">
        <v>54</v>
      </c>
      <c r="B6" s="12" t="s">
        <v>55</v>
      </c>
      <c r="C6" s="12" t="s">
        <v>56</v>
      </c>
    </row>
    <row r="7" customFormat="false" ht="15" hidden="false" customHeight="false" outlineLevel="0" collapsed="false">
      <c r="A7" s="12" t="s">
        <v>57</v>
      </c>
      <c r="B7" s="12" t="s">
        <v>55</v>
      </c>
      <c r="C7" s="12" t="s">
        <v>58</v>
      </c>
    </row>
    <row r="8" customFormat="false" ht="15" hidden="false" customHeight="false" outlineLevel="0" collapsed="false">
      <c r="A8" s="12" t="s">
        <v>59</v>
      </c>
      <c r="B8" s="12" t="s">
        <v>60</v>
      </c>
      <c r="C8" s="12" t="s">
        <v>61</v>
      </c>
    </row>
    <row r="9" customFormat="false" ht="15" hidden="false" customHeight="false" outlineLevel="0" collapsed="false">
      <c r="A9" s="12" t="s">
        <v>62</v>
      </c>
      <c r="B9" s="12" t="s">
        <v>60</v>
      </c>
      <c r="C9" s="12" t="s">
        <v>63</v>
      </c>
    </row>
    <row r="10" customFormat="false" ht="15" hidden="false" customHeight="false" outlineLevel="0" collapsed="false">
      <c r="A10" s="12" t="s">
        <v>64</v>
      </c>
      <c r="B10" s="12" t="s">
        <v>60</v>
      </c>
      <c r="C10" s="12" t="s">
        <v>65</v>
      </c>
    </row>
    <row r="11" customFormat="false" ht="15" hidden="false" customHeight="false" outlineLevel="0" collapsed="false">
      <c r="A11" s="12" t="s">
        <v>66</v>
      </c>
      <c r="B11" s="12" t="s">
        <v>67</v>
      </c>
      <c r="C11" s="12" t="s">
        <v>68</v>
      </c>
    </row>
    <row r="12" customFormat="false" ht="15" hidden="false" customHeight="false" outlineLevel="0" collapsed="false">
      <c r="A12" s="12" t="s">
        <v>69</v>
      </c>
      <c r="B12" s="12" t="s">
        <v>67</v>
      </c>
      <c r="C12" s="12" t="s">
        <v>70</v>
      </c>
    </row>
    <row r="13" customFormat="false" ht="15" hidden="false" customHeight="false" outlineLevel="0" collapsed="false">
      <c r="A13" s="12" t="s">
        <v>71</v>
      </c>
      <c r="B13" s="12" t="s">
        <v>67</v>
      </c>
      <c r="C13" s="12" t="s">
        <v>72</v>
      </c>
    </row>
    <row r="14" customFormat="false" ht="15" hidden="false" customHeight="false" outlineLevel="0" collapsed="false">
      <c r="A14" s="12" t="s">
        <v>73</v>
      </c>
      <c r="B14" s="12" t="s">
        <v>74</v>
      </c>
      <c r="C14" s="12" t="s">
        <v>75</v>
      </c>
    </row>
    <row r="15" customFormat="false" ht="15" hidden="false" customHeight="false" outlineLevel="0" collapsed="false">
      <c r="A15" s="12" t="s">
        <v>76</v>
      </c>
      <c r="B15" s="12" t="s">
        <v>74</v>
      </c>
      <c r="C15" s="12" t="s">
        <v>77</v>
      </c>
    </row>
    <row r="16" customFormat="false" ht="15" hidden="false" customHeight="false" outlineLevel="0" collapsed="false">
      <c r="A16" s="12" t="s">
        <v>78</v>
      </c>
      <c r="B16" s="12" t="s">
        <v>60</v>
      </c>
      <c r="C16" s="12" t="s">
        <v>79</v>
      </c>
    </row>
    <row r="17" customFormat="false" ht="15" hidden="false" customHeight="false" outlineLevel="0" collapsed="false">
      <c r="A17" s="12" t="s">
        <v>80</v>
      </c>
      <c r="B17" s="12" t="s">
        <v>81</v>
      </c>
      <c r="C17" s="12" t="s">
        <v>82</v>
      </c>
    </row>
    <row r="18" customFormat="false" ht="15" hidden="false" customHeight="false" outlineLevel="0" collapsed="false">
      <c r="A18" s="12" t="s">
        <v>83</v>
      </c>
      <c r="B18" s="12" t="s">
        <v>67</v>
      </c>
      <c r="C18" s="12" t="s">
        <v>84</v>
      </c>
    </row>
    <row r="20" customFormat="false" ht="15" hidden="false" customHeight="false" outlineLevel="0" collapsed="false">
      <c r="A20" s="1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26"/>
    <col collapsed="false" customWidth="true" hidden="false" outlineLevel="0" max="8" min="8" style="0" width="44"/>
    <col collapsed="false" customWidth="true" hidden="false" outlineLevel="0" max="9" min="9" style="0" width="26"/>
    <col collapsed="false" customWidth="true" hidden="false" outlineLevel="0" max="10" min="10" style="0" width="46"/>
    <col collapsed="false" customWidth="true" hidden="false" outlineLevel="0" max="11" min="11" style="0" width="34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6" min="15" style="0" width="14"/>
  </cols>
  <sheetData>
    <row r="1" customFormat="false" ht="23.85" hidden="false" customHeight="false" outlineLevel="0" collapsed="false">
      <c r="A1" s="11" t="s">
        <v>86</v>
      </c>
      <c r="B1" s="11" t="s">
        <v>42</v>
      </c>
      <c r="C1" s="11" t="s">
        <v>43</v>
      </c>
      <c r="D1" s="11" t="s">
        <v>87</v>
      </c>
      <c r="E1" s="11" t="s">
        <v>88</v>
      </c>
      <c r="F1" s="11" t="s">
        <v>89</v>
      </c>
      <c r="G1" s="11" t="s">
        <v>90</v>
      </c>
      <c r="H1" s="11" t="s">
        <v>91</v>
      </c>
      <c r="I1" s="11" t="s">
        <v>92</v>
      </c>
      <c r="J1" s="11" t="s">
        <v>93</v>
      </c>
      <c r="K1" s="11" t="s">
        <v>94</v>
      </c>
      <c r="L1" s="11" t="s">
        <v>95</v>
      </c>
      <c r="M1" s="11" t="s">
        <v>96</v>
      </c>
      <c r="N1" s="11" t="s">
        <v>97</v>
      </c>
      <c r="O1" s="11" t="s">
        <v>98</v>
      </c>
      <c r="P1" s="11" t="s">
        <v>99</v>
      </c>
    </row>
    <row r="2" customFormat="false" ht="46.25" hidden="false" customHeight="false" outlineLevel="0" collapsed="false">
      <c r="A2" s="12" t="s">
        <v>100</v>
      </c>
      <c r="B2" s="12" t="s">
        <v>45</v>
      </c>
      <c r="C2" s="12" t="s">
        <v>101</v>
      </c>
      <c r="D2" s="12" t="s">
        <v>102</v>
      </c>
      <c r="E2" s="12" t="s">
        <v>22</v>
      </c>
      <c r="F2" s="12" t="s">
        <v>103</v>
      </c>
      <c r="G2" s="12" t="s">
        <v>104</v>
      </c>
      <c r="H2" s="12" t="s">
        <v>105</v>
      </c>
      <c r="I2" s="12" t="s">
        <v>106</v>
      </c>
      <c r="J2" s="12" t="s">
        <v>107</v>
      </c>
      <c r="K2" s="14"/>
      <c r="L2" s="14" t="s">
        <v>17</v>
      </c>
      <c r="M2" s="14"/>
      <c r="N2" s="14"/>
      <c r="O2" s="14"/>
      <c r="P2" s="14"/>
    </row>
    <row r="3" customFormat="false" ht="46.25" hidden="false" customHeight="false" outlineLevel="0" collapsed="false">
      <c r="A3" s="12" t="s">
        <v>108</v>
      </c>
      <c r="B3" s="12" t="s">
        <v>48</v>
      </c>
      <c r="C3" s="12" t="s">
        <v>101</v>
      </c>
      <c r="D3" s="12" t="s">
        <v>109</v>
      </c>
      <c r="E3" s="12" t="s">
        <v>23</v>
      </c>
      <c r="F3" s="12" t="s">
        <v>103</v>
      </c>
      <c r="G3" s="12" t="s">
        <v>104</v>
      </c>
      <c r="H3" s="12" t="s">
        <v>105</v>
      </c>
      <c r="I3" s="12" t="s">
        <v>110</v>
      </c>
      <c r="J3" s="12" t="s">
        <v>111</v>
      </c>
      <c r="K3" s="14"/>
      <c r="L3" s="14" t="s">
        <v>17</v>
      </c>
      <c r="M3" s="14"/>
      <c r="N3" s="14"/>
      <c r="O3" s="14"/>
      <c r="P3" s="14"/>
    </row>
    <row r="4" customFormat="false" ht="46.25" hidden="false" customHeight="false" outlineLevel="0" collapsed="false">
      <c r="A4" s="12" t="s">
        <v>112</v>
      </c>
      <c r="B4" s="12" t="s">
        <v>48</v>
      </c>
      <c r="C4" s="12" t="s">
        <v>101</v>
      </c>
      <c r="D4" s="12" t="s">
        <v>113</v>
      </c>
      <c r="E4" s="12" t="s">
        <v>23</v>
      </c>
      <c r="F4" s="12" t="s">
        <v>103</v>
      </c>
      <c r="G4" s="12" t="s">
        <v>104</v>
      </c>
      <c r="H4" s="12" t="s">
        <v>105</v>
      </c>
      <c r="I4" s="12" t="s">
        <v>114</v>
      </c>
      <c r="J4" s="12" t="s">
        <v>111</v>
      </c>
      <c r="K4" s="14"/>
      <c r="L4" s="14" t="s">
        <v>17</v>
      </c>
      <c r="M4" s="14"/>
      <c r="N4" s="14"/>
      <c r="O4" s="14"/>
      <c r="P4" s="14"/>
    </row>
    <row r="5" customFormat="false" ht="46.25" hidden="false" customHeight="false" outlineLevel="0" collapsed="false">
      <c r="A5" s="12" t="s">
        <v>115</v>
      </c>
      <c r="B5" s="12" t="s">
        <v>52</v>
      </c>
      <c r="C5" s="12" t="s">
        <v>101</v>
      </c>
      <c r="D5" s="12" t="s">
        <v>116</v>
      </c>
      <c r="E5" s="12" t="s">
        <v>23</v>
      </c>
      <c r="F5" s="12" t="s">
        <v>103</v>
      </c>
      <c r="G5" s="12" t="s">
        <v>104</v>
      </c>
      <c r="H5" s="12" t="s">
        <v>117</v>
      </c>
      <c r="I5" s="12" t="s">
        <v>118</v>
      </c>
      <c r="J5" s="12" t="s">
        <v>119</v>
      </c>
      <c r="K5" s="14"/>
      <c r="L5" s="14" t="s">
        <v>17</v>
      </c>
      <c r="M5" s="14"/>
      <c r="N5" s="14"/>
      <c r="O5" s="14"/>
      <c r="P5" s="14"/>
    </row>
    <row r="6" customFormat="false" ht="46.25" hidden="false" customHeight="false" outlineLevel="0" collapsed="false">
      <c r="A6" s="12" t="s">
        <v>120</v>
      </c>
      <c r="B6" s="12" t="s">
        <v>52</v>
      </c>
      <c r="C6" s="12" t="s">
        <v>101</v>
      </c>
      <c r="D6" s="12" t="s">
        <v>121</v>
      </c>
      <c r="E6" s="12" t="s">
        <v>23</v>
      </c>
      <c r="F6" s="12" t="s">
        <v>103</v>
      </c>
      <c r="G6" s="12" t="s">
        <v>104</v>
      </c>
      <c r="H6" s="12" t="s">
        <v>122</v>
      </c>
      <c r="I6" s="12" t="s">
        <v>123</v>
      </c>
      <c r="J6" s="12" t="s">
        <v>124</v>
      </c>
      <c r="K6" s="14"/>
      <c r="L6" s="14" t="s">
        <v>17</v>
      </c>
      <c r="M6" s="14"/>
      <c r="N6" s="14"/>
      <c r="O6" s="14"/>
      <c r="P6" s="14"/>
    </row>
    <row r="7" customFormat="false" ht="35.05" hidden="false" customHeight="false" outlineLevel="0" collapsed="false">
      <c r="A7" s="12" t="s">
        <v>125</v>
      </c>
      <c r="B7" s="12" t="s">
        <v>52</v>
      </c>
      <c r="C7" s="12" t="s">
        <v>101</v>
      </c>
      <c r="D7" s="12" t="s">
        <v>126</v>
      </c>
      <c r="E7" s="12" t="s">
        <v>23</v>
      </c>
      <c r="F7" s="12" t="s">
        <v>127</v>
      </c>
      <c r="G7" s="12" t="s">
        <v>104</v>
      </c>
      <c r="H7" s="12" t="s">
        <v>128</v>
      </c>
      <c r="I7" s="12" t="s">
        <v>129</v>
      </c>
      <c r="J7" s="12" t="s">
        <v>119</v>
      </c>
      <c r="K7" s="14"/>
      <c r="L7" s="14" t="s">
        <v>17</v>
      </c>
      <c r="M7" s="14"/>
      <c r="N7" s="14"/>
      <c r="O7" s="14"/>
      <c r="P7" s="14"/>
    </row>
    <row r="8" customFormat="false" ht="46.25" hidden="false" customHeight="false" outlineLevel="0" collapsed="false">
      <c r="A8" s="12" t="s">
        <v>130</v>
      </c>
      <c r="B8" s="12" t="s">
        <v>50</v>
      </c>
      <c r="C8" s="12" t="s">
        <v>101</v>
      </c>
      <c r="D8" s="12" t="s">
        <v>131</v>
      </c>
      <c r="E8" s="12" t="s">
        <v>23</v>
      </c>
      <c r="F8" s="12" t="s">
        <v>103</v>
      </c>
      <c r="G8" s="12" t="s">
        <v>104</v>
      </c>
      <c r="H8" s="12" t="s">
        <v>105</v>
      </c>
      <c r="I8" s="12" t="s">
        <v>132</v>
      </c>
      <c r="J8" s="12" t="s">
        <v>133</v>
      </c>
      <c r="K8" s="14"/>
      <c r="L8" s="14" t="s">
        <v>17</v>
      </c>
      <c r="M8" s="14"/>
      <c r="N8" s="14"/>
      <c r="O8" s="14"/>
      <c r="P8" s="14"/>
    </row>
    <row r="9" customFormat="false" ht="46.25" hidden="false" customHeight="false" outlineLevel="0" collapsed="false">
      <c r="A9" s="12" t="s">
        <v>134</v>
      </c>
      <c r="B9" s="12" t="s">
        <v>48</v>
      </c>
      <c r="C9" s="12" t="s">
        <v>101</v>
      </c>
      <c r="D9" s="12" t="s">
        <v>135</v>
      </c>
      <c r="E9" s="12" t="s">
        <v>23</v>
      </c>
      <c r="F9" s="12" t="s">
        <v>127</v>
      </c>
      <c r="G9" s="12" t="s">
        <v>104</v>
      </c>
      <c r="H9" s="12" t="s">
        <v>105</v>
      </c>
      <c r="I9" s="12" t="s">
        <v>136</v>
      </c>
      <c r="J9" s="12" t="s">
        <v>111</v>
      </c>
      <c r="K9" s="14"/>
      <c r="L9" s="14" t="s">
        <v>17</v>
      </c>
      <c r="M9" s="14"/>
      <c r="N9" s="14"/>
      <c r="O9" s="14"/>
      <c r="P9" s="14"/>
    </row>
    <row r="10" customFormat="false" ht="35.05" hidden="false" customHeight="false" outlineLevel="0" collapsed="false">
      <c r="A10" s="12" t="s">
        <v>137</v>
      </c>
      <c r="B10" s="12" t="s">
        <v>45</v>
      </c>
      <c r="C10" s="12" t="s">
        <v>101</v>
      </c>
      <c r="D10" s="12" t="s">
        <v>138</v>
      </c>
      <c r="E10" s="12" t="s">
        <v>22</v>
      </c>
      <c r="F10" s="12" t="s">
        <v>127</v>
      </c>
      <c r="G10" s="12" t="s">
        <v>104</v>
      </c>
      <c r="H10" s="12" t="s">
        <v>139</v>
      </c>
      <c r="I10" s="12" t="s">
        <v>140</v>
      </c>
      <c r="J10" s="12" t="s">
        <v>141</v>
      </c>
      <c r="K10" s="14"/>
      <c r="L10" s="14" t="s">
        <v>17</v>
      </c>
      <c r="M10" s="14"/>
      <c r="N10" s="14"/>
      <c r="O10" s="14"/>
      <c r="P10" s="14"/>
    </row>
    <row r="11" customFormat="false" ht="46.25" hidden="false" customHeight="false" outlineLevel="0" collapsed="false">
      <c r="A11" s="12" t="s">
        <v>142</v>
      </c>
      <c r="B11" s="12" t="s">
        <v>48</v>
      </c>
      <c r="C11" s="12" t="s">
        <v>101</v>
      </c>
      <c r="D11" s="12" t="s">
        <v>143</v>
      </c>
      <c r="E11" s="12" t="s">
        <v>24</v>
      </c>
      <c r="F11" s="12" t="s">
        <v>144</v>
      </c>
      <c r="G11" s="12" t="s">
        <v>104</v>
      </c>
      <c r="H11" s="12" t="s">
        <v>105</v>
      </c>
      <c r="I11" s="12" t="s">
        <v>145</v>
      </c>
      <c r="J11" s="12" t="s">
        <v>146</v>
      </c>
      <c r="K11" s="14"/>
      <c r="L11" s="14" t="s">
        <v>17</v>
      </c>
      <c r="M11" s="14"/>
      <c r="N11" s="14"/>
      <c r="O11" s="14"/>
      <c r="P11" s="14"/>
    </row>
    <row r="12" customFormat="false" ht="46.25" hidden="false" customHeight="false" outlineLevel="0" collapsed="false">
      <c r="A12" s="12" t="s">
        <v>147</v>
      </c>
      <c r="B12" s="12" t="s">
        <v>48</v>
      </c>
      <c r="C12" s="12" t="s">
        <v>101</v>
      </c>
      <c r="D12" s="12" t="s">
        <v>148</v>
      </c>
      <c r="E12" s="12" t="s">
        <v>24</v>
      </c>
      <c r="F12" s="12" t="s">
        <v>144</v>
      </c>
      <c r="G12" s="12" t="s">
        <v>104</v>
      </c>
      <c r="H12" s="12" t="s">
        <v>105</v>
      </c>
      <c r="I12" s="12" t="s">
        <v>149</v>
      </c>
      <c r="J12" s="12" t="s">
        <v>150</v>
      </c>
      <c r="K12" s="14"/>
      <c r="L12" s="14" t="s">
        <v>17</v>
      </c>
      <c r="M12" s="14"/>
      <c r="N12" s="14"/>
      <c r="O12" s="14"/>
      <c r="P12" s="14"/>
    </row>
    <row r="13" customFormat="false" ht="46.25" hidden="false" customHeight="false" outlineLevel="0" collapsed="false">
      <c r="A13" s="12" t="s">
        <v>151</v>
      </c>
      <c r="B13" s="12" t="s">
        <v>48</v>
      </c>
      <c r="C13" s="12" t="s">
        <v>101</v>
      </c>
      <c r="D13" s="12" t="s">
        <v>152</v>
      </c>
      <c r="E13" s="12" t="s">
        <v>23</v>
      </c>
      <c r="F13" s="12" t="s">
        <v>127</v>
      </c>
      <c r="G13" s="12" t="s">
        <v>104</v>
      </c>
      <c r="H13" s="12" t="s">
        <v>105</v>
      </c>
      <c r="I13" s="12" t="s">
        <v>153</v>
      </c>
      <c r="J13" s="12" t="s">
        <v>154</v>
      </c>
      <c r="K13" s="14"/>
      <c r="L13" s="14" t="s">
        <v>17</v>
      </c>
      <c r="M13" s="14"/>
      <c r="N13" s="14"/>
      <c r="O13" s="14"/>
      <c r="P13" s="14"/>
    </row>
    <row r="14" customFormat="false" ht="23.85" hidden="false" customHeight="false" outlineLevel="0" collapsed="false">
      <c r="A14" s="12" t="s">
        <v>155</v>
      </c>
      <c r="B14" s="12" t="s">
        <v>48</v>
      </c>
      <c r="C14" s="12" t="s">
        <v>101</v>
      </c>
      <c r="D14" s="12" t="s">
        <v>156</v>
      </c>
      <c r="E14" s="12" t="s">
        <v>22</v>
      </c>
      <c r="F14" s="12" t="s">
        <v>144</v>
      </c>
      <c r="G14" s="12" t="s">
        <v>157</v>
      </c>
      <c r="H14" s="12" t="s">
        <v>158</v>
      </c>
      <c r="I14" s="12" t="s">
        <v>159</v>
      </c>
      <c r="J14" s="12" t="s">
        <v>160</v>
      </c>
      <c r="K14" s="14"/>
      <c r="L14" s="14" t="s">
        <v>17</v>
      </c>
      <c r="M14" s="14"/>
      <c r="N14" s="14"/>
      <c r="O14" s="14"/>
      <c r="P14" s="14"/>
    </row>
    <row r="15" customFormat="false" ht="23.85" hidden="false" customHeight="false" outlineLevel="0" collapsed="false">
      <c r="A15" s="12" t="s">
        <v>161</v>
      </c>
      <c r="B15" s="12" t="s">
        <v>80</v>
      </c>
      <c r="C15" s="12" t="s">
        <v>162</v>
      </c>
      <c r="D15" s="12" t="s">
        <v>163</v>
      </c>
      <c r="E15" s="12" t="s">
        <v>23</v>
      </c>
      <c r="F15" s="12" t="s">
        <v>103</v>
      </c>
      <c r="G15" s="12" t="s">
        <v>164</v>
      </c>
      <c r="H15" s="12" t="s">
        <v>165</v>
      </c>
      <c r="I15" s="12" t="s">
        <v>104</v>
      </c>
      <c r="J15" s="12" t="s">
        <v>166</v>
      </c>
      <c r="K15" s="14"/>
      <c r="L15" s="14" t="s">
        <v>17</v>
      </c>
      <c r="M15" s="14"/>
      <c r="N15" s="14"/>
      <c r="O15" s="14"/>
      <c r="P15" s="14"/>
    </row>
    <row r="16" customFormat="false" ht="23.85" hidden="false" customHeight="false" outlineLevel="0" collapsed="false">
      <c r="A16" s="12" t="s">
        <v>167</v>
      </c>
      <c r="B16" s="12" t="s">
        <v>54</v>
      </c>
      <c r="C16" s="12" t="s">
        <v>55</v>
      </c>
      <c r="D16" s="12" t="s">
        <v>168</v>
      </c>
      <c r="E16" s="12" t="s">
        <v>22</v>
      </c>
      <c r="F16" s="12" t="s">
        <v>103</v>
      </c>
      <c r="G16" s="12" t="s">
        <v>169</v>
      </c>
      <c r="H16" s="12" t="s">
        <v>170</v>
      </c>
      <c r="I16" s="12" t="s">
        <v>171</v>
      </c>
      <c r="J16" s="12" t="s">
        <v>172</v>
      </c>
      <c r="K16" s="14"/>
      <c r="L16" s="14" t="s">
        <v>17</v>
      </c>
      <c r="M16" s="14"/>
      <c r="N16" s="14"/>
      <c r="O16" s="14"/>
      <c r="P16" s="14"/>
    </row>
    <row r="17" customFormat="false" ht="23.85" hidden="false" customHeight="false" outlineLevel="0" collapsed="false">
      <c r="A17" s="12" t="s">
        <v>173</v>
      </c>
      <c r="B17" s="12" t="s">
        <v>57</v>
      </c>
      <c r="C17" s="12" t="s">
        <v>55</v>
      </c>
      <c r="D17" s="12" t="s">
        <v>174</v>
      </c>
      <c r="E17" s="12" t="s">
        <v>22</v>
      </c>
      <c r="F17" s="12" t="s">
        <v>103</v>
      </c>
      <c r="G17" s="12" t="s">
        <v>169</v>
      </c>
      <c r="H17" s="12" t="s">
        <v>175</v>
      </c>
      <c r="I17" s="12" t="s">
        <v>171</v>
      </c>
      <c r="J17" s="12" t="s">
        <v>176</v>
      </c>
      <c r="K17" s="14"/>
      <c r="L17" s="14" t="s">
        <v>17</v>
      </c>
      <c r="M17" s="14"/>
      <c r="N17" s="14"/>
      <c r="O17" s="14"/>
      <c r="P17" s="14"/>
    </row>
    <row r="18" customFormat="false" ht="23.85" hidden="false" customHeight="false" outlineLevel="0" collapsed="false">
      <c r="A18" s="12" t="s">
        <v>177</v>
      </c>
      <c r="B18" s="12" t="s">
        <v>57</v>
      </c>
      <c r="C18" s="12" t="s">
        <v>55</v>
      </c>
      <c r="D18" s="12" t="s">
        <v>178</v>
      </c>
      <c r="E18" s="12" t="s">
        <v>22</v>
      </c>
      <c r="F18" s="12" t="s">
        <v>127</v>
      </c>
      <c r="G18" s="12" t="s">
        <v>169</v>
      </c>
      <c r="H18" s="12" t="s">
        <v>179</v>
      </c>
      <c r="I18" s="12" t="s">
        <v>171</v>
      </c>
      <c r="J18" s="12" t="s">
        <v>180</v>
      </c>
      <c r="K18" s="14"/>
      <c r="L18" s="14" t="s">
        <v>17</v>
      </c>
      <c r="M18" s="14"/>
      <c r="N18" s="14"/>
      <c r="O18" s="14"/>
      <c r="P18" s="14"/>
    </row>
    <row r="19" customFormat="false" ht="23.85" hidden="false" customHeight="false" outlineLevel="0" collapsed="false">
      <c r="A19" s="12" t="s">
        <v>181</v>
      </c>
      <c r="B19" s="12" t="s">
        <v>57</v>
      </c>
      <c r="C19" s="12" t="s">
        <v>55</v>
      </c>
      <c r="D19" s="12" t="s">
        <v>182</v>
      </c>
      <c r="E19" s="12" t="s">
        <v>22</v>
      </c>
      <c r="F19" s="12" t="s">
        <v>103</v>
      </c>
      <c r="G19" s="12" t="s">
        <v>169</v>
      </c>
      <c r="H19" s="12" t="s">
        <v>183</v>
      </c>
      <c r="I19" s="12" t="s">
        <v>171</v>
      </c>
      <c r="J19" s="12" t="s">
        <v>184</v>
      </c>
      <c r="K19" s="14"/>
      <c r="L19" s="14" t="s">
        <v>17</v>
      </c>
      <c r="M19" s="14"/>
      <c r="N19" s="14"/>
      <c r="O19" s="14"/>
      <c r="P19" s="14"/>
    </row>
    <row r="20" customFormat="false" ht="23.85" hidden="false" customHeight="false" outlineLevel="0" collapsed="false">
      <c r="A20" s="12" t="s">
        <v>185</v>
      </c>
      <c r="B20" s="12" t="s">
        <v>57</v>
      </c>
      <c r="C20" s="12" t="s">
        <v>55</v>
      </c>
      <c r="D20" s="12" t="s">
        <v>186</v>
      </c>
      <c r="E20" s="12" t="s">
        <v>22</v>
      </c>
      <c r="F20" s="12" t="s">
        <v>127</v>
      </c>
      <c r="G20" s="12" t="s">
        <v>169</v>
      </c>
      <c r="H20" s="12" t="s">
        <v>187</v>
      </c>
      <c r="I20" s="12" t="s">
        <v>171</v>
      </c>
      <c r="J20" s="12" t="s">
        <v>188</v>
      </c>
      <c r="K20" s="14"/>
      <c r="L20" s="14" t="s">
        <v>17</v>
      </c>
      <c r="M20" s="14"/>
      <c r="N20" s="14"/>
      <c r="O20" s="14"/>
      <c r="P20" s="14"/>
    </row>
    <row r="21" customFormat="false" ht="35.05" hidden="false" customHeight="false" outlineLevel="0" collapsed="false">
      <c r="A21" s="12" t="s">
        <v>189</v>
      </c>
      <c r="B21" s="12" t="s">
        <v>54</v>
      </c>
      <c r="C21" s="12" t="s">
        <v>55</v>
      </c>
      <c r="D21" s="12" t="s">
        <v>190</v>
      </c>
      <c r="E21" s="12" t="s">
        <v>22</v>
      </c>
      <c r="F21" s="12" t="s">
        <v>127</v>
      </c>
      <c r="G21" s="12" t="s">
        <v>169</v>
      </c>
      <c r="H21" s="12" t="s">
        <v>191</v>
      </c>
      <c r="I21" s="12" t="s">
        <v>192</v>
      </c>
      <c r="J21" s="12" t="s">
        <v>193</v>
      </c>
      <c r="K21" s="14"/>
      <c r="L21" s="14" t="s">
        <v>17</v>
      </c>
      <c r="M21" s="14"/>
      <c r="N21" s="14"/>
      <c r="O21" s="14"/>
      <c r="P21" s="14"/>
    </row>
    <row r="22" customFormat="false" ht="23.85" hidden="false" customHeight="false" outlineLevel="0" collapsed="false">
      <c r="A22" s="12" t="s">
        <v>194</v>
      </c>
      <c r="B22" s="12" t="s">
        <v>59</v>
      </c>
      <c r="C22" s="12" t="s">
        <v>60</v>
      </c>
      <c r="D22" s="12" t="s">
        <v>195</v>
      </c>
      <c r="E22" s="12" t="s">
        <v>22</v>
      </c>
      <c r="F22" s="12" t="s">
        <v>103</v>
      </c>
      <c r="G22" s="12" t="s">
        <v>196</v>
      </c>
      <c r="H22" s="12" t="s">
        <v>197</v>
      </c>
      <c r="I22" s="12" t="s">
        <v>198</v>
      </c>
      <c r="J22" s="12" t="s">
        <v>199</v>
      </c>
      <c r="K22" s="14"/>
      <c r="L22" s="14" t="s">
        <v>17</v>
      </c>
      <c r="M22" s="14"/>
      <c r="N22" s="14"/>
      <c r="O22" s="14"/>
      <c r="P22" s="14"/>
    </row>
    <row r="23" customFormat="false" ht="23.85" hidden="false" customHeight="false" outlineLevel="0" collapsed="false">
      <c r="A23" s="12" t="s">
        <v>200</v>
      </c>
      <c r="B23" s="12" t="s">
        <v>59</v>
      </c>
      <c r="C23" s="12" t="s">
        <v>60</v>
      </c>
      <c r="D23" s="12" t="s">
        <v>201</v>
      </c>
      <c r="E23" s="12" t="s">
        <v>24</v>
      </c>
      <c r="F23" s="12" t="s">
        <v>127</v>
      </c>
      <c r="G23" s="12" t="s">
        <v>196</v>
      </c>
      <c r="H23" s="12" t="s">
        <v>202</v>
      </c>
      <c r="I23" s="12" t="s">
        <v>203</v>
      </c>
      <c r="J23" s="12" t="s">
        <v>204</v>
      </c>
      <c r="K23" s="14"/>
      <c r="L23" s="14" t="s">
        <v>17</v>
      </c>
      <c r="M23" s="14"/>
      <c r="N23" s="14"/>
      <c r="O23" s="14"/>
      <c r="P23" s="14"/>
    </row>
    <row r="24" customFormat="false" ht="15" hidden="false" customHeight="false" outlineLevel="0" collapsed="false">
      <c r="A24" s="12" t="s">
        <v>205</v>
      </c>
      <c r="B24" s="12" t="s">
        <v>62</v>
      </c>
      <c r="C24" s="12" t="s">
        <v>60</v>
      </c>
      <c r="D24" s="12" t="s">
        <v>206</v>
      </c>
      <c r="E24" s="12" t="s">
        <v>22</v>
      </c>
      <c r="F24" s="12" t="s">
        <v>103</v>
      </c>
      <c r="G24" s="12" t="s">
        <v>207</v>
      </c>
      <c r="H24" s="12" t="s">
        <v>208</v>
      </c>
      <c r="I24" s="12" t="s">
        <v>198</v>
      </c>
      <c r="J24" s="12" t="s">
        <v>209</v>
      </c>
      <c r="K24" s="14"/>
      <c r="L24" s="14" t="s">
        <v>17</v>
      </c>
      <c r="M24" s="14"/>
      <c r="N24" s="14"/>
      <c r="O24" s="14"/>
      <c r="P24" s="14"/>
    </row>
    <row r="25" customFormat="false" ht="23.85" hidden="false" customHeight="false" outlineLevel="0" collapsed="false">
      <c r="A25" s="12" t="s">
        <v>210</v>
      </c>
      <c r="B25" s="12" t="s">
        <v>62</v>
      </c>
      <c r="C25" s="12" t="s">
        <v>60</v>
      </c>
      <c r="D25" s="12" t="s">
        <v>211</v>
      </c>
      <c r="E25" s="12" t="s">
        <v>22</v>
      </c>
      <c r="F25" s="12" t="s">
        <v>103</v>
      </c>
      <c r="G25" s="12" t="s">
        <v>212</v>
      </c>
      <c r="H25" s="12" t="s">
        <v>213</v>
      </c>
      <c r="I25" s="12" t="s">
        <v>214</v>
      </c>
      <c r="J25" s="12" t="s">
        <v>215</v>
      </c>
      <c r="K25" s="14"/>
      <c r="L25" s="14" t="s">
        <v>17</v>
      </c>
      <c r="M25" s="14"/>
      <c r="N25" s="14"/>
      <c r="O25" s="14"/>
      <c r="P25" s="14"/>
    </row>
    <row r="26" customFormat="false" ht="35.05" hidden="false" customHeight="false" outlineLevel="0" collapsed="false">
      <c r="A26" s="12" t="s">
        <v>216</v>
      </c>
      <c r="B26" s="12" t="s">
        <v>78</v>
      </c>
      <c r="C26" s="12" t="s">
        <v>60</v>
      </c>
      <c r="D26" s="12" t="s">
        <v>217</v>
      </c>
      <c r="E26" s="12" t="s">
        <v>22</v>
      </c>
      <c r="F26" s="12" t="s">
        <v>127</v>
      </c>
      <c r="G26" s="12" t="s">
        <v>212</v>
      </c>
      <c r="H26" s="12" t="s">
        <v>218</v>
      </c>
      <c r="I26" s="12" t="s">
        <v>214</v>
      </c>
      <c r="J26" s="12" t="s">
        <v>219</v>
      </c>
      <c r="K26" s="14"/>
      <c r="L26" s="14" t="s">
        <v>17</v>
      </c>
      <c r="M26" s="14"/>
      <c r="N26" s="14"/>
      <c r="O26" s="14"/>
      <c r="P26" s="14"/>
    </row>
    <row r="27" customFormat="false" ht="23.85" hidden="false" customHeight="false" outlineLevel="0" collapsed="false">
      <c r="A27" s="12" t="s">
        <v>220</v>
      </c>
      <c r="B27" s="12" t="s">
        <v>83</v>
      </c>
      <c r="C27" s="12" t="s">
        <v>60</v>
      </c>
      <c r="D27" s="12" t="s">
        <v>221</v>
      </c>
      <c r="E27" s="12" t="s">
        <v>23</v>
      </c>
      <c r="F27" s="12" t="s">
        <v>127</v>
      </c>
      <c r="G27" s="12" t="s">
        <v>222</v>
      </c>
      <c r="H27" s="12" t="s">
        <v>223</v>
      </c>
      <c r="I27" s="12" t="s">
        <v>104</v>
      </c>
      <c r="J27" s="12" t="s">
        <v>224</v>
      </c>
      <c r="K27" s="14"/>
      <c r="L27" s="14" t="s">
        <v>17</v>
      </c>
      <c r="M27" s="14"/>
      <c r="N27" s="14"/>
      <c r="O27" s="14"/>
      <c r="P27" s="14"/>
    </row>
    <row r="28" customFormat="false" ht="57.45" hidden="false" customHeight="false" outlineLevel="0" collapsed="false">
      <c r="A28" s="12" t="s">
        <v>225</v>
      </c>
      <c r="B28" s="12" t="s">
        <v>71</v>
      </c>
      <c r="C28" s="12" t="s">
        <v>67</v>
      </c>
      <c r="D28" s="12" t="s">
        <v>226</v>
      </c>
      <c r="E28" s="12" t="s">
        <v>22</v>
      </c>
      <c r="F28" s="12" t="s">
        <v>103</v>
      </c>
      <c r="G28" s="12" t="s">
        <v>196</v>
      </c>
      <c r="H28" s="12" t="s">
        <v>227</v>
      </c>
      <c r="I28" s="12" t="s">
        <v>228</v>
      </c>
      <c r="J28" s="12" t="s">
        <v>229</v>
      </c>
      <c r="K28" s="14"/>
      <c r="L28" s="14" t="s">
        <v>17</v>
      </c>
      <c r="M28" s="14"/>
      <c r="N28" s="14"/>
      <c r="O28" s="14"/>
      <c r="P28" s="14"/>
    </row>
    <row r="29" customFormat="false" ht="35.05" hidden="false" customHeight="false" outlineLevel="0" collapsed="false">
      <c r="A29" s="12" t="s">
        <v>230</v>
      </c>
      <c r="B29" s="12" t="s">
        <v>66</v>
      </c>
      <c r="C29" s="12" t="s">
        <v>67</v>
      </c>
      <c r="D29" s="12" t="s">
        <v>231</v>
      </c>
      <c r="E29" s="12" t="s">
        <v>23</v>
      </c>
      <c r="F29" s="12" t="s">
        <v>103</v>
      </c>
      <c r="G29" s="12" t="s">
        <v>232</v>
      </c>
      <c r="H29" s="12" t="s">
        <v>233</v>
      </c>
      <c r="I29" s="12" t="s">
        <v>234</v>
      </c>
      <c r="J29" s="12" t="s">
        <v>235</v>
      </c>
      <c r="K29" s="14"/>
      <c r="L29" s="14" t="s">
        <v>17</v>
      </c>
      <c r="M29" s="14"/>
      <c r="N29" s="14"/>
      <c r="O29" s="14"/>
      <c r="P29" s="14"/>
    </row>
    <row r="30" customFormat="false" ht="35.05" hidden="false" customHeight="false" outlineLevel="0" collapsed="false">
      <c r="A30" s="12" t="s">
        <v>236</v>
      </c>
      <c r="B30" s="12" t="s">
        <v>66</v>
      </c>
      <c r="C30" s="12" t="s">
        <v>67</v>
      </c>
      <c r="D30" s="12" t="s">
        <v>237</v>
      </c>
      <c r="E30" s="12" t="s">
        <v>23</v>
      </c>
      <c r="F30" s="12" t="s">
        <v>103</v>
      </c>
      <c r="G30" s="12" t="s">
        <v>232</v>
      </c>
      <c r="H30" s="12" t="s">
        <v>238</v>
      </c>
      <c r="I30" s="12" t="s">
        <v>239</v>
      </c>
      <c r="J30" s="12" t="s">
        <v>240</v>
      </c>
      <c r="K30" s="14"/>
      <c r="L30" s="14" t="s">
        <v>17</v>
      </c>
      <c r="M30" s="14"/>
      <c r="N30" s="14"/>
      <c r="O30" s="14"/>
      <c r="P30" s="14"/>
    </row>
    <row r="31" customFormat="false" ht="35.05" hidden="false" customHeight="false" outlineLevel="0" collapsed="false">
      <c r="A31" s="12" t="s">
        <v>241</v>
      </c>
      <c r="B31" s="12" t="s">
        <v>66</v>
      </c>
      <c r="C31" s="12" t="s">
        <v>67</v>
      </c>
      <c r="D31" s="12" t="s">
        <v>242</v>
      </c>
      <c r="E31" s="12" t="s">
        <v>23</v>
      </c>
      <c r="F31" s="12" t="s">
        <v>103</v>
      </c>
      <c r="G31" s="12" t="s">
        <v>232</v>
      </c>
      <c r="H31" s="12" t="s">
        <v>243</v>
      </c>
      <c r="I31" s="12" t="s">
        <v>244</v>
      </c>
      <c r="J31" s="12" t="s">
        <v>245</v>
      </c>
      <c r="K31" s="14"/>
      <c r="L31" s="14" t="s">
        <v>17</v>
      </c>
      <c r="M31" s="14"/>
      <c r="N31" s="14"/>
      <c r="O31" s="14"/>
      <c r="P31" s="14"/>
    </row>
    <row r="32" customFormat="false" ht="23.85" hidden="false" customHeight="false" outlineLevel="0" collapsed="false">
      <c r="A32" s="12" t="s">
        <v>246</v>
      </c>
      <c r="B32" s="12" t="s">
        <v>66</v>
      </c>
      <c r="C32" s="12" t="s">
        <v>67</v>
      </c>
      <c r="D32" s="12" t="s">
        <v>247</v>
      </c>
      <c r="E32" s="12" t="s">
        <v>24</v>
      </c>
      <c r="F32" s="12" t="s">
        <v>144</v>
      </c>
      <c r="G32" s="12" t="s">
        <v>232</v>
      </c>
      <c r="H32" s="12" t="s">
        <v>248</v>
      </c>
      <c r="I32" s="12" t="s">
        <v>249</v>
      </c>
      <c r="J32" s="12" t="s">
        <v>250</v>
      </c>
      <c r="K32" s="14"/>
      <c r="L32" s="14" t="s">
        <v>17</v>
      </c>
      <c r="M32" s="14"/>
      <c r="N32" s="14"/>
      <c r="O32" s="14"/>
      <c r="P32" s="14"/>
    </row>
    <row r="33" customFormat="false" ht="23.85" hidden="false" customHeight="false" outlineLevel="0" collapsed="false">
      <c r="A33" s="12" t="s">
        <v>251</v>
      </c>
      <c r="B33" s="12" t="s">
        <v>66</v>
      </c>
      <c r="C33" s="12" t="s">
        <v>67</v>
      </c>
      <c r="D33" s="12" t="s">
        <v>252</v>
      </c>
      <c r="E33" s="12" t="s">
        <v>24</v>
      </c>
      <c r="F33" s="12" t="s">
        <v>144</v>
      </c>
      <c r="G33" s="12" t="s">
        <v>232</v>
      </c>
      <c r="H33" s="12" t="s">
        <v>253</v>
      </c>
      <c r="I33" s="12" t="s">
        <v>254</v>
      </c>
      <c r="J33" s="12" t="s">
        <v>255</v>
      </c>
      <c r="K33" s="14"/>
      <c r="L33" s="14" t="s">
        <v>17</v>
      </c>
      <c r="M33" s="14"/>
      <c r="N33" s="14"/>
      <c r="O33" s="14"/>
      <c r="P33" s="14"/>
    </row>
    <row r="34" customFormat="false" ht="35.05" hidden="false" customHeight="false" outlineLevel="0" collapsed="false">
      <c r="A34" s="12" t="s">
        <v>256</v>
      </c>
      <c r="B34" s="12" t="s">
        <v>69</v>
      </c>
      <c r="C34" s="12" t="s">
        <v>67</v>
      </c>
      <c r="D34" s="12" t="s">
        <v>257</v>
      </c>
      <c r="E34" s="12" t="s">
        <v>22</v>
      </c>
      <c r="F34" s="12" t="s">
        <v>103</v>
      </c>
      <c r="G34" s="12" t="s">
        <v>222</v>
      </c>
      <c r="H34" s="12" t="s">
        <v>258</v>
      </c>
      <c r="I34" s="12" t="s">
        <v>259</v>
      </c>
      <c r="J34" s="12" t="s">
        <v>260</v>
      </c>
      <c r="K34" s="14"/>
      <c r="L34" s="14" t="s">
        <v>17</v>
      </c>
      <c r="M34" s="14"/>
      <c r="N34" s="14"/>
      <c r="O34" s="14"/>
      <c r="P34" s="14"/>
    </row>
    <row r="35" customFormat="false" ht="23.85" hidden="false" customHeight="false" outlineLevel="0" collapsed="false">
      <c r="A35" s="12" t="s">
        <v>261</v>
      </c>
      <c r="B35" s="12" t="s">
        <v>64</v>
      </c>
      <c r="C35" s="12" t="s">
        <v>67</v>
      </c>
      <c r="D35" s="12" t="s">
        <v>262</v>
      </c>
      <c r="E35" s="12" t="s">
        <v>22</v>
      </c>
      <c r="F35" s="12" t="s">
        <v>127</v>
      </c>
      <c r="G35" s="12" t="s">
        <v>263</v>
      </c>
      <c r="H35" s="12" t="s">
        <v>264</v>
      </c>
      <c r="I35" s="12" t="s">
        <v>104</v>
      </c>
      <c r="J35" s="12" t="s">
        <v>265</v>
      </c>
      <c r="K35" s="14"/>
      <c r="L35" s="14" t="s">
        <v>17</v>
      </c>
      <c r="M35" s="14"/>
      <c r="N35" s="14"/>
      <c r="O35" s="14"/>
      <c r="P35" s="14"/>
    </row>
    <row r="36" customFormat="false" ht="23.85" hidden="false" customHeight="false" outlineLevel="0" collapsed="false">
      <c r="A36" s="12" t="s">
        <v>266</v>
      </c>
      <c r="B36" s="12" t="s">
        <v>73</v>
      </c>
      <c r="C36" s="12" t="s">
        <v>74</v>
      </c>
      <c r="D36" s="12" t="s">
        <v>267</v>
      </c>
      <c r="E36" s="12" t="s">
        <v>22</v>
      </c>
      <c r="F36" s="12" t="s">
        <v>103</v>
      </c>
      <c r="G36" s="12" t="s">
        <v>169</v>
      </c>
      <c r="H36" s="12" t="s">
        <v>268</v>
      </c>
      <c r="I36" s="12" t="s">
        <v>171</v>
      </c>
      <c r="J36" s="12" t="s">
        <v>269</v>
      </c>
      <c r="K36" s="14"/>
      <c r="L36" s="14" t="s">
        <v>17</v>
      </c>
      <c r="M36" s="14"/>
      <c r="N36" s="14"/>
      <c r="O36" s="14"/>
      <c r="P36" s="14"/>
    </row>
    <row r="37" customFormat="false" ht="35.05" hidden="false" customHeight="false" outlineLevel="0" collapsed="false">
      <c r="A37" s="12" t="s">
        <v>270</v>
      </c>
      <c r="B37" s="12" t="s">
        <v>76</v>
      </c>
      <c r="C37" s="12" t="s">
        <v>74</v>
      </c>
      <c r="D37" s="12" t="s">
        <v>271</v>
      </c>
      <c r="E37" s="12" t="s">
        <v>22</v>
      </c>
      <c r="F37" s="12" t="s">
        <v>127</v>
      </c>
      <c r="G37" s="12" t="s">
        <v>212</v>
      </c>
      <c r="H37" s="12" t="s">
        <v>272</v>
      </c>
      <c r="I37" s="12" t="s">
        <v>214</v>
      </c>
      <c r="J37" s="12" t="s">
        <v>273</v>
      </c>
      <c r="K37" s="14"/>
      <c r="L37" s="14" t="s">
        <v>17</v>
      </c>
      <c r="M37" s="14"/>
      <c r="N37" s="14"/>
      <c r="O37" s="14"/>
      <c r="P37" s="14"/>
    </row>
    <row r="38" customFormat="false" ht="57.45" hidden="false" customHeight="false" outlineLevel="0" collapsed="false">
      <c r="A38" s="12" t="s">
        <v>274</v>
      </c>
      <c r="B38" s="12" t="s">
        <v>54</v>
      </c>
      <c r="C38" s="12" t="s">
        <v>55</v>
      </c>
      <c r="D38" s="12" t="s">
        <v>275</v>
      </c>
      <c r="E38" s="12" t="s">
        <v>22</v>
      </c>
      <c r="F38" s="12" t="s">
        <v>103</v>
      </c>
      <c r="G38" s="12" t="s">
        <v>104</v>
      </c>
      <c r="H38" s="12" t="s">
        <v>276</v>
      </c>
      <c r="I38" s="12" t="s">
        <v>277</v>
      </c>
      <c r="J38" s="12" t="s">
        <v>278</v>
      </c>
      <c r="K38" s="14"/>
      <c r="L38" s="14" t="s">
        <v>17</v>
      </c>
      <c r="M38" s="14"/>
      <c r="N38" s="14"/>
      <c r="O38" s="14"/>
      <c r="P38" s="14"/>
    </row>
    <row r="39" customFormat="false" ht="23.85" hidden="false" customHeight="false" outlineLevel="0" collapsed="false">
      <c r="A39" s="12" t="s">
        <v>279</v>
      </c>
      <c r="B39" s="12" t="s">
        <v>57</v>
      </c>
      <c r="C39" s="12" t="s">
        <v>55</v>
      </c>
      <c r="D39" s="12" t="s">
        <v>280</v>
      </c>
      <c r="E39" s="12" t="s">
        <v>22</v>
      </c>
      <c r="F39" s="12" t="s">
        <v>103</v>
      </c>
      <c r="G39" s="12" t="s">
        <v>281</v>
      </c>
      <c r="H39" s="12" t="s">
        <v>282</v>
      </c>
      <c r="I39" s="12" t="s">
        <v>283</v>
      </c>
      <c r="J39" s="12" t="s">
        <v>284</v>
      </c>
      <c r="K39" s="14"/>
      <c r="L39" s="14" t="s">
        <v>17</v>
      </c>
      <c r="M39" s="14"/>
      <c r="N39" s="14"/>
      <c r="O39" s="14"/>
      <c r="P39" s="14"/>
    </row>
    <row r="40" customFormat="false" ht="35.05" hidden="false" customHeight="false" outlineLevel="0" collapsed="false">
      <c r="A40" s="12" t="s">
        <v>285</v>
      </c>
      <c r="B40" s="12" t="s">
        <v>66</v>
      </c>
      <c r="C40" s="12" t="s">
        <v>67</v>
      </c>
      <c r="D40" s="12" t="s">
        <v>286</v>
      </c>
      <c r="E40" s="12" t="s">
        <v>22</v>
      </c>
      <c r="F40" s="12" t="s">
        <v>103</v>
      </c>
      <c r="G40" s="12" t="s">
        <v>287</v>
      </c>
      <c r="H40" s="12" t="s">
        <v>288</v>
      </c>
      <c r="I40" s="12" t="s">
        <v>228</v>
      </c>
      <c r="J40" s="12" t="s">
        <v>289</v>
      </c>
      <c r="K40" s="14"/>
      <c r="L40" s="14" t="s">
        <v>17</v>
      </c>
      <c r="M40" s="14"/>
      <c r="N40" s="14"/>
      <c r="O40" s="14"/>
      <c r="P40" s="14"/>
    </row>
    <row r="41" customFormat="false" ht="23.85" hidden="false" customHeight="false" outlineLevel="0" collapsed="false">
      <c r="A41" s="12" t="s">
        <v>290</v>
      </c>
      <c r="B41" s="12" t="s">
        <v>62</v>
      </c>
      <c r="C41" s="12" t="s">
        <v>60</v>
      </c>
      <c r="D41" s="12" t="s">
        <v>291</v>
      </c>
      <c r="E41" s="12" t="s">
        <v>22</v>
      </c>
      <c r="F41" s="12" t="s">
        <v>103</v>
      </c>
      <c r="G41" s="12" t="s">
        <v>292</v>
      </c>
      <c r="H41" s="12" t="s">
        <v>293</v>
      </c>
      <c r="I41" s="12" t="s">
        <v>294</v>
      </c>
      <c r="J41" s="12" t="s">
        <v>295</v>
      </c>
      <c r="K41" s="14"/>
      <c r="L41" s="14" t="s">
        <v>17</v>
      </c>
      <c r="M41" s="14"/>
      <c r="N41" s="14"/>
      <c r="O41" s="14"/>
      <c r="P41" s="14"/>
    </row>
  </sheetData>
  <autoFilter ref="A1:P41"/>
  <conditionalFormatting sqref="L2:L41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</conditionalFormatting>
  <conditionalFormatting sqref="O2:O41">
    <cfRule type="cellIs" priority="5" operator="equal" aboveAverage="0" equalAverage="0" bottom="0" percent="0" rank="0" text="" dxfId="4">
      <formula>"Pass"</formula>
    </cfRule>
    <cfRule type="cellIs" priority="6" operator="equal" aboveAverage="0" equalAverage="0" bottom="0" percent="0" rank="0" text="" dxfId="5">
      <formula>"Fail"</formula>
    </cfRule>
    <cfRule type="cellIs" priority="7" operator="equal" aboveAverage="0" equalAverage="0" bottom="0" percent="0" rank="0" text="" dxfId="6">
      <formula>"Blocked"</formula>
    </cfRule>
  </conditionalFormatting>
  <dataValidations count="2">
    <dataValidation allowBlank="false" errorStyle="stop" operator="between" showDropDown="false" showErrorMessage="false" showInputMessage="false" sqref="L2:L41" type="list">
      <formula1>"Pass,Fail,Blocked,Not Run"</formula1>
      <formula2>0</formula2>
    </dataValidation>
    <dataValidation allowBlank="true" errorStyle="stop" operator="between" showDropDown="false" showErrorMessage="false" showInputMessage="false" sqref="O2:O41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7" min="6" style="0" width="9"/>
    <col collapsed="false" customWidth="true" hidden="false" outlineLevel="0" max="9" min="8" style="0" width="14"/>
    <col collapsed="false" customWidth="true" hidden="false" outlineLevel="0" max="10" min="10" style="0" width="22"/>
  </cols>
  <sheetData>
    <row r="1" customFormat="false" ht="23.85" hidden="false" customHeight="false" outlineLevel="0" collapsed="false">
      <c r="A1" s="11" t="s">
        <v>42</v>
      </c>
      <c r="B1" s="11" t="s">
        <v>43</v>
      </c>
      <c r="C1" s="11" t="s">
        <v>44</v>
      </c>
      <c r="D1" s="11" t="s">
        <v>296</v>
      </c>
      <c r="E1" s="11" t="s">
        <v>297</v>
      </c>
      <c r="F1" s="11" t="s">
        <v>14</v>
      </c>
      <c r="G1" s="11" t="s">
        <v>15</v>
      </c>
      <c r="H1" s="11" t="s">
        <v>298</v>
      </c>
      <c r="I1" s="11" t="s">
        <v>299</v>
      </c>
      <c r="J1" s="11" t="s">
        <v>300</v>
      </c>
    </row>
    <row r="2" customFormat="false" ht="23.85" hidden="false" customHeight="false" outlineLevel="0" collapsed="false">
      <c r="A2" s="12" t="s">
        <v>45</v>
      </c>
      <c r="B2" s="12" t="s">
        <v>46</v>
      </c>
      <c r="C2" s="12" t="s">
        <v>47</v>
      </c>
      <c r="D2" s="12" t="s">
        <v>301</v>
      </c>
      <c r="E2" s="12" t="n">
        <f aca="false">COUNTIF('Test Cases'!$B$2:$B$41,A2)</f>
        <v>2</v>
      </c>
      <c r="F2" s="12" t="n">
        <f aca="false">COUNTIFS('Test Cases'!$B$2:$B$41,A2,'Test Cases'!$L$2:$L$41,"Pass")</f>
        <v>0</v>
      </c>
      <c r="G2" s="12" t="n">
        <f aca="false">COUNTIFS('Test Cases'!$B$2:$B$41,A2,'Test Cases'!$L$2:$L$41,"Fail")</f>
        <v>0</v>
      </c>
      <c r="H2" s="12" t="n">
        <f aca="false">E2-F2-G2</f>
        <v>2</v>
      </c>
      <c r="I2" s="12" t="str">
        <f aca="false">IF(E2=0,"NO COVERAGE",IF(G2&gt;0,"Fail",IF(F2=E2,"Pass","In Progress")))</f>
        <v>In Progress</v>
      </c>
      <c r="J2" s="14"/>
    </row>
    <row r="3" customFormat="false" ht="23.85" hidden="false" customHeight="false" outlineLevel="0" collapsed="false">
      <c r="A3" s="12" t="s">
        <v>48</v>
      </c>
      <c r="B3" s="12" t="s">
        <v>46</v>
      </c>
      <c r="C3" s="12" t="s">
        <v>49</v>
      </c>
      <c r="D3" s="12" t="s">
        <v>302</v>
      </c>
      <c r="E3" s="12" t="n">
        <f aca="false">COUNTIF('Test Cases'!$B$2:$B$41,A3)</f>
        <v>7</v>
      </c>
      <c r="F3" s="12" t="n">
        <f aca="false">COUNTIFS('Test Cases'!$B$2:$B$41,A3,'Test Cases'!$L$2:$L$41,"Pass")</f>
        <v>0</v>
      </c>
      <c r="G3" s="12" t="n">
        <f aca="false">COUNTIFS('Test Cases'!$B$2:$B$41,A3,'Test Cases'!$L$2:$L$41,"Fail")</f>
        <v>0</v>
      </c>
      <c r="H3" s="12" t="n">
        <f aca="false">E3-F3-G3</f>
        <v>7</v>
      </c>
      <c r="I3" s="12" t="str">
        <f aca="false">IF(E3=0,"NO COVERAGE",IF(G3&gt;0,"Fail",IF(F3=E3,"Pass","In Progress")))</f>
        <v>In Progress</v>
      </c>
      <c r="J3" s="14"/>
    </row>
    <row r="4" customFormat="false" ht="15" hidden="false" customHeight="false" outlineLevel="0" collapsed="false">
      <c r="A4" s="12" t="s">
        <v>50</v>
      </c>
      <c r="B4" s="12" t="s">
        <v>46</v>
      </c>
      <c r="C4" s="12" t="s">
        <v>51</v>
      </c>
      <c r="D4" s="12" t="s">
        <v>130</v>
      </c>
      <c r="E4" s="12" t="n">
        <f aca="false">COUNTIF('Test Cases'!$B$2:$B$41,A4)</f>
        <v>1</v>
      </c>
      <c r="F4" s="12" t="n">
        <f aca="false">COUNTIFS('Test Cases'!$B$2:$B$41,A4,'Test Cases'!$L$2:$L$41,"Pass")</f>
        <v>0</v>
      </c>
      <c r="G4" s="12" t="n">
        <f aca="false">COUNTIFS('Test Cases'!$B$2:$B$41,A4,'Test Cases'!$L$2:$L$41,"Fail")</f>
        <v>0</v>
      </c>
      <c r="H4" s="12" t="n">
        <f aca="false">E4-F4-G4</f>
        <v>1</v>
      </c>
      <c r="I4" s="12" t="str">
        <f aca="false">IF(E4=0,"NO COVERAGE",IF(G4&gt;0,"Fail",IF(F4=E4,"Pass","In Progress")))</f>
        <v>In Progress</v>
      </c>
      <c r="J4" s="14"/>
    </row>
    <row r="5" customFormat="false" ht="15" hidden="false" customHeight="false" outlineLevel="0" collapsed="false">
      <c r="A5" s="12" t="s">
        <v>52</v>
      </c>
      <c r="B5" s="12" t="s">
        <v>46</v>
      </c>
      <c r="C5" s="12" t="s">
        <v>53</v>
      </c>
      <c r="D5" s="12" t="s">
        <v>303</v>
      </c>
      <c r="E5" s="12" t="n">
        <f aca="false">COUNTIF('Test Cases'!$B$2:$B$41,A5)</f>
        <v>3</v>
      </c>
      <c r="F5" s="12" t="n">
        <f aca="false">COUNTIFS('Test Cases'!$B$2:$B$41,A5,'Test Cases'!$L$2:$L$41,"Pass")</f>
        <v>0</v>
      </c>
      <c r="G5" s="12" t="n">
        <f aca="false">COUNTIFS('Test Cases'!$B$2:$B$41,A5,'Test Cases'!$L$2:$L$41,"Fail")</f>
        <v>0</v>
      </c>
      <c r="H5" s="12" t="n">
        <f aca="false">E5-F5-G5</f>
        <v>3</v>
      </c>
      <c r="I5" s="12" t="str">
        <f aca="false">IF(E5=0,"NO COVERAGE",IF(G5&gt;0,"Fail",IF(F5=E5,"Pass","In Progress")))</f>
        <v>In Progress</v>
      </c>
      <c r="J5" s="14"/>
    </row>
    <row r="6" customFormat="false" ht="23.85" hidden="false" customHeight="false" outlineLevel="0" collapsed="false">
      <c r="A6" s="12" t="s">
        <v>54</v>
      </c>
      <c r="B6" s="12" t="s">
        <v>55</v>
      </c>
      <c r="C6" s="12" t="s">
        <v>56</v>
      </c>
      <c r="D6" s="12" t="s">
        <v>304</v>
      </c>
      <c r="E6" s="12" t="n">
        <f aca="false">COUNTIF('Test Cases'!$B$2:$B$41,A6)</f>
        <v>3</v>
      </c>
      <c r="F6" s="12" t="n">
        <f aca="false">COUNTIFS('Test Cases'!$B$2:$B$41,A6,'Test Cases'!$L$2:$L$41,"Pass")</f>
        <v>0</v>
      </c>
      <c r="G6" s="12" t="n">
        <f aca="false">COUNTIFS('Test Cases'!$B$2:$B$41,A6,'Test Cases'!$L$2:$L$41,"Fail")</f>
        <v>0</v>
      </c>
      <c r="H6" s="12" t="n">
        <f aca="false">E6-F6-G6</f>
        <v>3</v>
      </c>
      <c r="I6" s="12" t="str">
        <f aca="false">IF(E6=0,"NO COVERAGE",IF(G6&gt;0,"Fail",IF(F6=E6,"Pass","In Progress")))</f>
        <v>In Progress</v>
      </c>
      <c r="J6" s="14"/>
    </row>
    <row r="7" customFormat="false" ht="15" hidden="false" customHeight="false" outlineLevel="0" collapsed="false">
      <c r="A7" s="12" t="s">
        <v>57</v>
      </c>
      <c r="B7" s="12" t="s">
        <v>55</v>
      </c>
      <c r="C7" s="12" t="s">
        <v>58</v>
      </c>
      <c r="D7" s="12" t="s">
        <v>305</v>
      </c>
      <c r="E7" s="12" t="n">
        <f aca="false">COUNTIF('Test Cases'!$B$2:$B$41,A7)</f>
        <v>5</v>
      </c>
      <c r="F7" s="12" t="n">
        <f aca="false">COUNTIFS('Test Cases'!$B$2:$B$41,A7,'Test Cases'!$L$2:$L$41,"Pass")</f>
        <v>0</v>
      </c>
      <c r="G7" s="12" t="n">
        <f aca="false">COUNTIFS('Test Cases'!$B$2:$B$41,A7,'Test Cases'!$L$2:$L$41,"Fail")</f>
        <v>0</v>
      </c>
      <c r="H7" s="12" t="n">
        <f aca="false">E7-F7-G7</f>
        <v>5</v>
      </c>
      <c r="I7" s="12" t="str">
        <f aca="false">IF(E7=0,"NO COVERAGE",IF(G7&gt;0,"Fail",IF(F7=E7,"Pass","In Progress")))</f>
        <v>In Progress</v>
      </c>
      <c r="J7" s="14"/>
    </row>
    <row r="8" customFormat="false" ht="15" hidden="false" customHeight="false" outlineLevel="0" collapsed="false">
      <c r="A8" s="12" t="s">
        <v>59</v>
      </c>
      <c r="B8" s="12" t="s">
        <v>60</v>
      </c>
      <c r="C8" s="12" t="s">
        <v>61</v>
      </c>
      <c r="D8" s="12" t="s">
        <v>306</v>
      </c>
      <c r="E8" s="12" t="n">
        <f aca="false">COUNTIF('Test Cases'!$B$2:$B$41,A8)</f>
        <v>2</v>
      </c>
      <c r="F8" s="12" t="n">
        <f aca="false">COUNTIFS('Test Cases'!$B$2:$B$41,A8,'Test Cases'!$L$2:$L$41,"Pass")</f>
        <v>0</v>
      </c>
      <c r="G8" s="12" t="n">
        <f aca="false">COUNTIFS('Test Cases'!$B$2:$B$41,A8,'Test Cases'!$L$2:$L$41,"Fail")</f>
        <v>0</v>
      </c>
      <c r="H8" s="12" t="n">
        <f aca="false">E8-F8-G8</f>
        <v>2</v>
      </c>
      <c r="I8" s="12" t="str">
        <f aca="false">IF(E8=0,"NO COVERAGE",IF(G8&gt;0,"Fail",IF(F8=E8,"Pass","In Progress")))</f>
        <v>In Progress</v>
      </c>
      <c r="J8" s="14"/>
    </row>
    <row r="9" customFormat="false" ht="15" hidden="false" customHeight="false" outlineLevel="0" collapsed="false">
      <c r="A9" s="12" t="s">
        <v>62</v>
      </c>
      <c r="B9" s="12" t="s">
        <v>60</v>
      </c>
      <c r="C9" s="12" t="s">
        <v>63</v>
      </c>
      <c r="D9" s="12" t="s">
        <v>307</v>
      </c>
      <c r="E9" s="12" t="n">
        <f aca="false">COUNTIF('Test Cases'!$B$2:$B$41,A9)</f>
        <v>3</v>
      </c>
      <c r="F9" s="12" t="n">
        <f aca="false">COUNTIFS('Test Cases'!$B$2:$B$41,A9,'Test Cases'!$L$2:$L$41,"Pass")</f>
        <v>0</v>
      </c>
      <c r="G9" s="12" t="n">
        <f aca="false">COUNTIFS('Test Cases'!$B$2:$B$41,A9,'Test Cases'!$L$2:$L$41,"Fail")</f>
        <v>0</v>
      </c>
      <c r="H9" s="12" t="n">
        <f aca="false">E9-F9-G9</f>
        <v>3</v>
      </c>
      <c r="I9" s="12" t="str">
        <f aca="false">IF(E9=0,"NO COVERAGE",IF(G9&gt;0,"Fail",IF(F9=E9,"Pass","In Progress")))</f>
        <v>In Progress</v>
      </c>
      <c r="J9" s="14"/>
    </row>
    <row r="10" customFormat="false" ht="23.85" hidden="false" customHeight="false" outlineLevel="0" collapsed="false">
      <c r="A10" s="12" t="s">
        <v>64</v>
      </c>
      <c r="B10" s="12" t="s">
        <v>60</v>
      </c>
      <c r="C10" s="12" t="s">
        <v>65</v>
      </c>
      <c r="D10" s="12" t="s">
        <v>261</v>
      </c>
      <c r="E10" s="12" t="n">
        <f aca="false">COUNTIF('Test Cases'!$B$2:$B$41,A10)</f>
        <v>1</v>
      </c>
      <c r="F10" s="12" t="n">
        <f aca="false">COUNTIFS('Test Cases'!$B$2:$B$41,A10,'Test Cases'!$L$2:$L$41,"Pass")</f>
        <v>0</v>
      </c>
      <c r="G10" s="12" t="n">
        <f aca="false">COUNTIFS('Test Cases'!$B$2:$B$41,A10,'Test Cases'!$L$2:$L$41,"Fail")</f>
        <v>0</v>
      </c>
      <c r="H10" s="12" t="n">
        <f aca="false">E10-F10-G10</f>
        <v>1</v>
      </c>
      <c r="I10" s="12" t="str">
        <f aca="false">IF(E10=0,"NO COVERAGE",IF(G10&gt;0,"Fail",IF(F10=E10,"Pass","In Progress")))</f>
        <v>In Progress</v>
      </c>
      <c r="J10" s="14"/>
    </row>
    <row r="11" customFormat="false" ht="23.85" hidden="false" customHeight="false" outlineLevel="0" collapsed="false">
      <c r="A11" s="12" t="s">
        <v>66</v>
      </c>
      <c r="B11" s="12" t="s">
        <v>67</v>
      </c>
      <c r="C11" s="12" t="s">
        <v>68</v>
      </c>
      <c r="D11" s="12" t="s">
        <v>308</v>
      </c>
      <c r="E11" s="12" t="n">
        <f aca="false">COUNTIF('Test Cases'!$B$2:$B$41,A11)</f>
        <v>6</v>
      </c>
      <c r="F11" s="12" t="n">
        <f aca="false">COUNTIFS('Test Cases'!$B$2:$B$41,A11,'Test Cases'!$L$2:$L$41,"Pass")</f>
        <v>0</v>
      </c>
      <c r="G11" s="12" t="n">
        <f aca="false">COUNTIFS('Test Cases'!$B$2:$B$41,A11,'Test Cases'!$L$2:$L$41,"Fail")</f>
        <v>0</v>
      </c>
      <c r="H11" s="12" t="n">
        <f aca="false">E11-F11-G11</f>
        <v>6</v>
      </c>
      <c r="I11" s="12" t="str">
        <f aca="false">IF(E11=0,"NO COVERAGE",IF(G11&gt;0,"Fail",IF(F11=E11,"Pass","In Progress")))</f>
        <v>In Progress</v>
      </c>
      <c r="J11" s="14"/>
    </row>
    <row r="12" customFormat="false" ht="15" hidden="false" customHeight="false" outlineLevel="0" collapsed="false">
      <c r="A12" s="12" t="s">
        <v>69</v>
      </c>
      <c r="B12" s="12" t="s">
        <v>67</v>
      </c>
      <c r="C12" s="12" t="s">
        <v>70</v>
      </c>
      <c r="D12" s="12" t="s">
        <v>256</v>
      </c>
      <c r="E12" s="12" t="n">
        <f aca="false">COUNTIF('Test Cases'!$B$2:$B$41,A12)</f>
        <v>1</v>
      </c>
      <c r="F12" s="12" t="n">
        <f aca="false">COUNTIFS('Test Cases'!$B$2:$B$41,A12,'Test Cases'!$L$2:$L$41,"Pass")</f>
        <v>0</v>
      </c>
      <c r="G12" s="12" t="n">
        <f aca="false">COUNTIFS('Test Cases'!$B$2:$B$41,A12,'Test Cases'!$L$2:$L$41,"Fail")</f>
        <v>0</v>
      </c>
      <c r="H12" s="12" t="n">
        <f aca="false">E12-F12-G12</f>
        <v>1</v>
      </c>
      <c r="I12" s="12" t="str">
        <f aca="false">IF(E12=0,"NO COVERAGE",IF(G12&gt;0,"Fail",IF(F12=E12,"Pass","In Progress")))</f>
        <v>In Progress</v>
      </c>
      <c r="J12" s="14"/>
    </row>
    <row r="13" customFormat="false" ht="15" hidden="false" customHeight="false" outlineLevel="0" collapsed="false">
      <c r="A13" s="12" t="s">
        <v>71</v>
      </c>
      <c r="B13" s="12" t="s">
        <v>67</v>
      </c>
      <c r="C13" s="12" t="s">
        <v>72</v>
      </c>
      <c r="D13" s="12" t="s">
        <v>225</v>
      </c>
      <c r="E13" s="12" t="n">
        <f aca="false">COUNTIF('Test Cases'!$B$2:$B$41,A13)</f>
        <v>1</v>
      </c>
      <c r="F13" s="12" t="n">
        <f aca="false">COUNTIFS('Test Cases'!$B$2:$B$41,A13,'Test Cases'!$L$2:$L$41,"Pass")</f>
        <v>0</v>
      </c>
      <c r="G13" s="12" t="n">
        <f aca="false">COUNTIFS('Test Cases'!$B$2:$B$41,A13,'Test Cases'!$L$2:$L$41,"Fail")</f>
        <v>0</v>
      </c>
      <c r="H13" s="12" t="n">
        <f aca="false">E13-F13-G13</f>
        <v>1</v>
      </c>
      <c r="I13" s="12" t="str">
        <f aca="false">IF(E13=0,"NO COVERAGE",IF(G13&gt;0,"Fail",IF(F13=E13,"Pass","In Progress")))</f>
        <v>In Progress</v>
      </c>
      <c r="J13" s="14"/>
    </row>
    <row r="14" customFormat="false" ht="15" hidden="false" customHeight="false" outlineLevel="0" collapsed="false">
      <c r="A14" s="12" t="s">
        <v>73</v>
      </c>
      <c r="B14" s="12" t="s">
        <v>74</v>
      </c>
      <c r="C14" s="12" t="s">
        <v>75</v>
      </c>
      <c r="D14" s="12" t="s">
        <v>266</v>
      </c>
      <c r="E14" s="12" t="n">
        <f aca="false">COUNTIF('Test Cases'!$B$2:$B$41,A14)</f>
        <v>1</v>
      </c>
      <c r="F14" s="12" t="n">
        <f aca="false">COUNTIFS('Test Cases'!$B$2:$B$41,A14,'Test Cases'!$L$2:$L$41,"Pass")</f>
        <v>0</v>
      </c>
      <c r="G14" s="12" t="n">
        <f aca="false">COUNTIFS('Test Cases'!$B$2:$B$41,A14,'Test Cases'!$L$2:$L$41,"Fail")</f>
        <v>0</v>
      </c>
      <c r="H14" s="12" t="n">
        <f aca="false">E14-F14-G14</f>
        <v>1</v>
      </c>
      <c r="I14" s="12" t="str">
        <f aca="false">IF(E14=0,"NO COVERAGE",IF(G14&gt;0,"Fail",IF(F14=E14,"Pass","In Progress")))</f>
        <v>In Progress</v>
      </c>
      <c r="J14" s="14"/>
    </row>
    <row r="15" customFormat="false" ht="15" hidden="false" customHeight="false" outlineLevel="0" collapsed="false">
      <c r="A15" s="12" t="s">
        <v>76</v>
      </c>
      <c r="B15" s="12" t="s">
        <v>74</v>
      </c>
      <c r="C15" s="12" t="s">
        <v>77</v>
      </c>
      <c r="D15" s="12" t="s">
        <v>270</v>
      </c>
      <c r="E15" s="12" t="n">
        <f aca="false">COUNTIF('Test Cases'!$B$2:$B$41,A15)</f>
        <v>1</v>
      </c>
      <c r="F15" s="12" t="n">
        <f aca="false">COUNTIFS('Test Cases'!$B$2:$B$41,A15,'Test Cases'!$L$2:$L$41,"Pass")</f>
        <v>0</v>
      </c>
      <c r="G15" s="12" t="n">
        <f aca="false">COUNTIFS('Test Cases'!$B$2:$B$41,A15,'Test Cases'!$L$2:$L$41,"Fail")</f>
        <v>0</v>
      </c>
      <c r="H15" s="12" t="n">
        <f aca="false">E15-F15-G15</f>
        <v>1</v>
      </c>
      <c r="I15" s="12" t="str">
        <f aca="false">IF(E15=0,"NO COVERAGE",IF(G15&gt;0,"Fail",IF(F15=E15,"Pass","In Progress")))</f>
        <v>In Progress</v>
      </c>
      <c r="J15" s="14"/>
    </row>
    <row r="16" customFormat="false" ht="15" hidden="false" customHeight="false" outlineLevel="0" collapsed="false">
      <c r="A16" s="12" t="s">
        <v>78</v>
      </c>
      <c r="B16" s="12" t="s">
        <v>60</v>
      </c>
      <c r="C16" s="12" t="s">
        <v>79</v>
      </c>
      <c r="D16" s="12" t="s">
        <v>216</v>
      </c>
      <c r="E16" s="12" t="n">
        <f aca="false">COUNTIF('Test Cases'!$B$2:$B$41,A16)</f>
        <v>1</v>
      </c>
      <c r="F16" s="12" t="n">
        <f aca="false">COUNTIFS('Test Cases'!$B$2:$B$41,A16,'Test Cases'!$L$2:$L$41,"Pass")</f>
        <v>0</v>
      </c>
      <c r="G16" s="12" t="n">
        <f aca="false">COUNTIFS('Test Cases'!$B$2:$B$41,A16,'Test Cases'!$L$2:$L$41,"Fail")</f>
        <v>0</v>
      </c>
      <c r="H16" s="12" t="n">
        <f aca="false">E16-F16-G16</f>
        <v>1</v>
      </c>
      <c r="I16" s="12" t="str">
        <f aca="false">IF(E16=0,"NO COVERAGE",IF(G16&gt;0,"Fail",IF(F16=E16,"Pass","In Progress")))</f>
        <v>In Progress</v>
      </c>
      <c r="J16" s="14"/>
    </row>
    <row r="17" customFormat="false" ht="15" hidden="false" customHeight="false" outlineLevel="0" collapsed="false">
      <c r="A17" s="12" t="s">
        <v>80</v>
      </c>
      <c r="B17" s="12" t="s">
        <v>81</v>
      </c>
      <c r="C17" s="12" t="s">
        <v>82</v>
      </c>
      <c r="D17" s="12" t="s">
        <v>161</v>
      </c>
      <c r="E17" s="12" t="n">
        <f aca="false">COUNTIF('Test Cases'!$B$2:$B$41,A17)</f>
        <v>1</v>
      </c>
      <c r="F17" s="12" t="n">
        <f aca="false">COUNTIFS('Test Cases'!$B$2:$B$41,A17,'Test Cases'!$L$2:$L$41,"Pass")</f>
        <v>0</v>
      </c>
      <c r="G17" s="12" t="n">
        <f aca="false">COUNTIFS('Test Cases'!$B$2:$B$41,A17,'Test Cases'!$L$2:$L$41,"Fail")</f>
        <v>0</v>
      </c>
      <c r="H17" s="12" t="n">
        <f aca="false">E17-F17-G17</f>
        <v>1</v>
      </c>
      <c r="I17" s="12" t="str">
        <f aca="false">IF(E17=0,"NO COVERAGE",IF(G17&gt;0,"Fail",IF(F17=E17,"Pass","In Progress")))</f>
        <v>In Progress</v>
      </c>
      <c r="J17" s="14"/>
    </row>
    <row r="18" customFormat="false" ht="15" hidden="false" customHeight="false" outlineLevel="0" collapsed="false">
      <c r="A18" s="12" t="s">
        <v>83</v>
      </c>
      <c r="B18" s="12" t="s">
        <v>67</v>
      </c>
      <c r="C18" s="12" t="s">
        <v>84</v>
      </c>
      <c r="D18" s="12" t="s">
        <v>220</v>
      </c>
      <c r="E18" s="12" t="n">
        <f aca="false">COUNTIF('Test Cases'!$B$2:$B$41,A18)</f>
        <v>1</v>
      </c>
      <c r="F18" s="12" t="n">
        <f aca="false">COUNTIFS('Test Cases'!$B$2:$B$41,A18,'Test Cases'!$L$2:$L$41,"Pass")</f>
        <v>0</v>
      </c>
      <c r="G18" s="12" t="n">
        <f aca="false">COUNTIFS('Test Cases'!$B$2:$B$41,A18,'Test Cases'!$L$2:$L$41,"Fail")</f>
        <v>0</v>
      </c>
      <c r="H18" s="12" t="n">
        <f aca="false">E18-F18-G18</f>
        <v>1</v>
      </c>
      <c r="I18" s="12" t="str">
        <f aca="false">IF(E18=0,"NO COVERAGE",IF(G18&gt;0,"Fail",IF(F18=E18,"Pass","In Progress")))</f>
        <v>In Progress</v>
      </c>
      <c r="J18" s="14"/>
    </row>
    <row r="20" customFormat="false" ht="15" hidden="false" customHeight="false" outlineLevel="0" collapsed="false">
      <c r="A20" s="15" t="s">
        <v>309</v>
      </c>
      <c r="E20" s="16" t="n">
        <f aca="false">COUNTIF(E2:E18,0)</f>
        <v>0</v>
      </c>
    </row>
    <row r="21" customFormat="false" ht="15" hidden="false" customHeight="false" outlineLevel="0" collapsed="false">
      <c r="A21" s="15" t="s">
        <v>310</v>
      </c>
      <c r="E21" s="17" t="n">
        <f aca="false">(COUNTA(A2:A18)-E20)/COUNTA(A2:A18)</f>
        <v>1</v>
      </c>
    </row>
  </sheetData>
  <conditionalFormatting sqref="I2:I18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5">
      <formula>"NO COVERAGE"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24"/>
    <col collapsed="false" customWidth="true" hidden="false" outlineLevel="0" max="10" min="10" style="0" width="44"/>
    <col collapsed="false" customWidth="true" hidden="false" outlineLevel="0" max="12" min="11" style="0" width="28"/>
    <col collapsed="false" customWidth="true" hidden="false" outlineLevel="0" max="13" min="13" style="0" width="24"/>
    <col collapsed="false" customWidth="true" hidden="false" outlineLevel="0" max="14" min="14" style="0" width="12"/>
    <col collapsed="false" customWidth="true" hidden="false" outlineLevel="0" max="15" min="15" style="0" width="14"/>
  </cols>
  <sheetData>
    <row r="1" customFormat="false" ht="23.85" hidden="false" customHeight="false" outlineLevel="0" collapsed="false">
      <c r="A1" s="11" t="s">
        <v>96</v>
      </c>
      <c r="B1" s="11" t="s">
        <v>311</v>
      </c>
      <c r="C1" s="11" t="s">
        <v>43</v>
      </c>
      <c r="D1" s="11" t="s">
        <v>312</v>
      </c>
      <c r="E1" s="11" t="s">
        <v>313</v>
      </c>
      <c r="F1" s="11" t="s">
        <v>314</v>
      </c>
      <c r="G1" s="11" t="s">
        <v>89</v>
      </c>
      <c r="H1" s="11" t="s">
        <v>95</v>
      </c>
      <c r="I1" s="11" t="s">
        <v>315</v>
      </c>
      <c r="J1" s="11" t="s">
        <v>316</v>
      </c>
      <c r="K1" s="11" t="s">
        <v>93</v>
      </c>
      <c r="L1" s="11" t="s">
        <v>94</v>
      </c>
      <c r="M1" s="11" t="s">
        <v>317</v>
      </c>
      <c r="N1" s="11" t="s">
        <v>318</v>
      </c>
      <c r="O1" s="11" t="s">
        <v>319</v>
      </c>
    </row>
    <row r="2" customFormat="false" ht="35.05" hidden="false" customHeight="false" outlineLevel="0" collapsed="false">
      <c r="A2" s="18" t="s">
        <v>320</v>
      </c>
      <c r="B2" s="18" t="s">
        <v>321</v>
      </c>
      <c r="C2" s="18" t="s">
        <v>55</v>
      </c>
      <c r="D2" s="18" t="s">
        <v>279</v>
      </c>
      <c r="E2" s="18" t="s">
        <v>283</v>
      </c>
      <c r="F2" s="18" t="s">
        <v>322</v>
      </c>
      <c r="G2" s="18" t="s">
        <v>103</v>
      </c>
      <c r="H2" s="18" t="s">
        <v>323</v>
      </c>
      <c r="I2" s="18" t="s">
        <v>324</v>
      </c>
      <c r="J2" s="18" t="s">
        <v>325</v>
      </c>
      <c r="K2" s="18" t="s">
        <v>326</v>
      </c>
      <c r="L2" s="18" t="s">
        <v>327</v>
      </c>
      <c r="M2" s="18" t="s">
        <v>328</v>
      </c>
      <c r="N2" s="18"/>
      <c r="O2" s="18"/>
    </row>
    <row r="3" customFormat="false" ht="15" hidden="false" customHeight="false" outlineLevel="0" collapsed="false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customFormat="false" ht="15" hidden="false" customHeight="false" outlineLevel="0" collapsed="false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customFormat="false" ht="15" hidden="false" customHeight="false" outlineLevel="0" collapsed="false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customFormat="false" ht="15" hidden="false" customHeight="fals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customFormat="false" ht="15" hidden="false" customHeight="fals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customFormat="false" ht="15" hidden="false" customHeight="fals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customFormat="false" ht="15" hidden="false" customHeight="fals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 customFormat="false" ht="15" hidden="false" customHeight="fals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 customFormat="false" ht="15" hidden="false" customHeight="fals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 customFormat="false" ht="15" hidden="false" customHeight="fals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 customFormat="false" ht="15" hidden="false" customHeight="fals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customFormat="false" ht="15" hidden="false" customHeight="fals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 customFormat="false" ht="15" hidden="false" customHeight="false" outlineLevel="0" collapsed="false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 customFormat="false" ht="15" hidden="false" customHeight="fals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 customFormat="false" ht="15" hidden="false" customHeight="false" outlineLevel="0" collapsed="false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 customFormat="false" ht="15" hidden="false" customHeight="fals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 customFormat="false" ht="15" hidden="false" customHeight="false" outlineLevel="0" collapsed="false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  <row r="55" customFormat="false" ht="15" hidden="false" customHeight="fals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56" customFormat="false" ht="15" hidden="false" customHeight="fals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customFormat="false" ht="15" hidden="false" customHeight="fals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</row>
    <row r="58" customFormat="false" ht="15" hidden="false" customHeight="fals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</row>
    <row r="59" customFormat="false" ht="15" hidden="false" customHeight="fals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customFormat="false" ht="15" hidden="false" customHeight="false" outlineLevel="0" collapsed="false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</sheetData>
  <dataValidations count="4">
    <dataValidation allowBlank="true" errorStyle="stop" operator="between" showDropDown="false" showErrorMessage="false" showInputMessage="false" sqref="F2:F60" type="list">
      <formula1>"Critical,Major,Minor,Trivial"</formula1>
      <formula2>0</formula2>
    </dataValidation>
    <dataValidation allowBlank="true" errorStyle="stop" operator="between" showDropDown="false" showErrorMessage="false" showInputMessage="false" sqref="G2:G60" type="list">
      <formula1>"High,Medium,Low"</formula1>
      <formula2>0</formula2>
    </dataValidation>
    <dataValidation allowBlank="true" errorStyle="stop" operator="between" showDropDown="false" showErrorMessage="false" showInputMessage="false" sqref="H2:H60" type="list">
      <formula1>"Open,In Progress,Ready for Retest,Closed,Reopened"</formula1>
      <formula2>0</formula2>
    </dataValidation>
    <dataValidation allowBlank="true" errorStyle="stop" operator="between" showDropDown="false" showErrorMessage="false" showInputMessage="false" sqref="O2:O60" type="list">
      <formula1>"Pass,Fail,Not Retested"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1" t="s">
        <v>96</v>
      </c>
      <c r="B1" s="11" t="s">
        <v>329</v>
      </c>
      <c r="C1" s="11" t="s">
        <v>330</v>
      </c>
      <c r="D1" s="11" t="s">
        <v>319</v>
      </c>
      <c r="E1" s="11" t="s">
        <v>331</v>
      </c>
      <c r="F1" s="11" t="s">
        <v>332</v>
      </c>
      <c r="G1" s="11" t="s">
        <v>333</v>
      </c>
    </row>
    <row r="2" customFormat="false" ht="23.85" hidden="false" customHeight="false" outlineLevel="0" collapsed="false">
      <c r="A2" s="18" t="s">
        <v>320</v>
      </c>
      <c r="B2" s="18" t="s">
        <v>334</v>
      </c>
      <c r="C2" s="18" t="s">
        <v>171</v>
      </c>
      <c r="D2" s="18" t="s">
        <v>335</v>
      </c>
      <c r="E2" s="18"/>
      <c r="F2" s="18" t="s">
        <v>336</v>
      </c>
      <c r="G2" s="18" t="s">
        <v>337</v>
      </c>
    </row>
    <row r="3" customFormat="false" ht="15" hidden="false" customHeight="false" outlineLevel="0" collapsed="false">
      <c r="A3" s="14"/>
      <c r="B3" s="14"/>
      <c r="C3" s="14"/>
      <c r="D3" s="14"/>
      <c r="E3" s="14"/>
      <c r="F3" s="14"/>
      <c r="G3" s="14"/>
    </row>
    <row r="4" customFormat="false" ht="15" hidden="false" customHeight="false" outlineLevel="0" collapsed="false">
      <c r="A4" s="14"/>
      <c r="B4" s="14"/>
      <c r="C4" s="14"/>
      <c r="D4" s="14"/>
      <c r="E4" s="14"/>
      <c r="F4" s="14"/>
      <c r="G4" s="14"/>
    </row>
    <row r="5" customFormat="false" ht="15" hidden="false" customHeight="false" outlineLevel="0" collapsed="false">
      <c r="A5" s="14"/>
      <c r="B5" s="14"/>
      <c r="C5" s="14"/>
      <c r="D5" s="14"/>
      <c r="E5" s="14"/>
      <c r="F5" s="14"/>
      <c r="G5" s="14"/>
    </row>
    <row r="6" customFormat="false" ht="15" hidden="false" customHeight="false" outlineLevel="0" collapsed="false">
      <c r="A6" s="14"/>
      <c r="B6" s="14"/>
      <c r="C6" s="14"/>
      <c r="D6" s="14"/>
      <c r="E6" s="14"/>
      <c r="F6" s="14"/>
      <c r="G6" s="14"/>
    </row>
    <row r="7" customFormat="false" ht="15" hidden="false" customHeight="false" outlineLevel="0" collapsed="false">
      <c r="A7" s="14"/>
      <c r="B7" s="14"/>
      <c r="C7" s="14"/>
      <c r="D7" s="14"/>
      <c r="E7" s="14"/>
      <c r="F7" s="14"/>
      <c r="G7" s="14"/>
    </row>
    <row r="8" customFormat="false" ht="15" hidden="false" customHeight="false" outlineLevel="0" collapsed="false">
      <c r="A8" s="14"/>
      <c r="B8" s="14"/>
      <c r="C8" s="14"/>
      <c r="D8" s="14"/>
      <c r="E8" s="14"/>
      <c r="F8" s="14"/>
      <c r="G8" s="14"/>
    </row>
    <row r="9" customFormat="false" ht="15" hidden="false" customHeight="false" outlineLevel="0" collapsed="false">
      <c r="A9" s="14"/>
      <c r="B9" s="14"/>
      <c r="C9" s="14"/>
      <c r="D9" s="14"/>
      <c r="E9" s="14"/>
      <c r="F9" s="14"/>
      <c r="G9" s="14"/>
    </row>
    <row r="10" customFormat="false" ht="15" hidden="false" customHeight="false" outlineLevel="0" collapsed="false">
      <c r="A10" s="14"/>
      <c r="B10" s="14"/>
      <c r="C10" s="14"/>
      <c r="D10" s="14"/>
      <c r="E10" s="14"/>
      <c r="F10" s="14"/>
      <c r="G10" s="14"/>
    </row>
    <row r="11" customFormat="false" ht="15" hidden="false" customHeight="false" outlineLevel="0" collapsed="false">
      <c r="A11" s="14"/>
      <c r="B11" s="14"/>
      <c r="C11" s="14"/>
      <c r="D11" s="14"/>
      <c r="E11" s="14"/>
      <c r="F11" s="14"/>
      <c r="G11" s="14"/>
    </row>
    <row r="12" customFormat="false" ht="15" hidden="false" customHeight="false" outlineLevel="0" collapsed="false">
      <c r="A12" s="14"/>
      <c r="B12" s="14"/>
      <c r="C12" s="14"/>
      <c r="D12" s="14"/>
      <c r="E12" s="14"/>
      <c r="F12" s="14"/>
      <c r="G12" s="14"/>
    </row>
    <row r="13" customFormat="false" ht="15" hidden="false" customHeight="false" outlineLevel="0" collapsed="false">
      <c r="A13" s="14"/>
      <c r="B13" s="14"/>
      <c r="C13" s="14"/>
      <c r="D13" s="14"/>
      <c r="E13" s="14"/>
      <c r="F13" s="14"/>
      <c r="G13" s="14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  <c r="G18" s="14"/>
    </row>
    <row r="19" customFormat="false" ht="15" hidden="false" customHeight="false" outlineLevel="0" collapsed="false">
      <c r="A19" s="14"/>
      <c r="B19" s="14"/>
      <c r="C19" s="14"/>
      <c r="D19" s="14"/>
      <c r="E19" s="14"/>
      <c r="F19" s="14"/>
      <c r="G19" s="14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  <c r="G20" s="14"/>
    </row>
    <row r="21" customFormat="false" ht="15" hidden="false" customHeight="false" outlineLevel="0" collapsed="false">
      <c r="A21" s="14"/>
      <c r="B21" s="14"/>
      <c r="C21" s="14"/>
      <c r="D21" s="14"/>
      <c r="E21" s="14"/>
      <c r="F21" s="14"/>
      <c r="G21" s="14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  <c r="G22" s="14"/>
    </row>
    <row r="23" customFormat="false" ht="15" hidden="false" customHeight="false" outlineLevel="0" collapsed="false">
      <c r="A23" s="14"/>
      <c r="B23" s="14"/>
      <c r="C23" s="14"/>
      <c r="D23" s="14"/>
      <c r="E23" s="14"/>
      <c r="F23" s="14"/>
      <c r="G23" s="14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  <c r="G24" s="14"/>
    </row>
    <row r="25" customFormat="false" ht="15" hidden="false" customHeight="false" outlineLevel="0" collapsed="false">
      <c r="A25" s="14"/>
      <c r="B25" s="14"/>
      <c r="C25" s="14"/>
      <c r="D25" s="14"/>
      <c r="E25" s="14"/>
      <c r="F25" s="14"/>
      <c r="G25" s="14"/>
    </row>
    <row r="26" customFormat="false" ht="15" hidden="false" customHeight="false" outlineLevel="0" collapsed="false">
      <c r="A26" s="14"/>
      <c r="B26" s="14"/>
      <c r="C26" s="14"/>
      <c r="D26" s="14"/>
      <c r="E26" s="14"/>
      <c r="F26" s="14"/>
      <c r="G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</row>
    <row r="28" customFormat="false" ht="15" hidden="false" customHeight="false" outlineLevel="0" collapsed="false">
      <c r="A28" s="14"/>
      <c r="B28" s="14"/>
      <c r="C28" s="14"/>
      <c r="D28" s="14"/>
      <c r="E28" s="14"/>
      <c r="F28" s="14"/>
      <c r="G28" s="14"/>
    </row>
    <row r="29" customFormat="false" ht="15" hidden="false" customHeight="false" outlineLevel="0" collapsed="false">
      <c r="A29" s="14"/>
      <c r="B29" s="14"/>
      <c r="C29" s="14"/>
      <c r="D29" s="14"/>
      <c r="E29" s="14"/>
      <c r="F29" s="14"/>
      <c r="G29" s="14"/>
    </row>
    <row r="30" customFormat="false" ht="15" hidden="false" customHeight="false" outlineLevel="0" collapsed="false">
      <c r="A30" s="14"/>
      <c r="B30" s="14"/>
      <c r="C30" s="14"/>
      <c r="D30" s="14"/>
      <c r="E30" s="14"/>
      <c r="F30" s="14"/>
      <c r="G30" s="14"/>
    </row>
    <row r="31" customFormat="false" ht="15" hidden="false" customHeight="false" outlineLevel="0" collapsed="false">
      <c r="A31" s="14"/>
      <c r="B31" s="14"/>
      <c r="C31" s="14"/>
      <c r="D31" s="14"/>
      <c r="E31" s="14"/>
      <c r="F31" s="14"/>
      <c r="G31" s="14"/>
    </row>
    <row r="32" customFormat="false" ht="15" hidden="false" customHeight="false" outlineLevel="0" collapsed="false">
      <c r="A32" s="14"/>
      <c r="B32" s="14"/>
      <c r="C32" s="14"/>
      <c r="D32" s="14"/>
      <c r="E32" s="14"/>
      <c r="F32" s="14"/>
      <c r="G32" s="14"/>
    </row>
    <row r="33" customFormat="false" ht="15" hidden="false" customHeight="false" outlineLevel="0" collapsed="false">
      <c r="A33" s="14"/>
      <c r="B33" s="14"/>
      <c r="C33" s="14"/>
      <c r="D33" s="14"/>
      <c r="E33" s="14"/>
      <c r="F33" s="14"/>
      <c r="G33" s="14"/>
    </row>
    <row r="34" customFormat="false" ht="15" hidden="false" customHeight="false" outlineLevel="0" collapsed="false">
      <c r="A34" s="14"/>
      <c r="B34" s="14"/>
      <c r="C34" s="14"/>
      <c r="D34" s="14"/>
      <c r="E34" s="14"/>
      <c r="F34" s="14"/>
      <c r="G34" s="14"/>
    </row>
    <row r="35" customFormat="false" ht="15" hidden="false" customHeight="false" outlineLevel="0" collapsed="false">
      <c r="A35" s="14"/>
      <c r="B35" s="14"/>
      <c r="C35" s="14"/>
      <c r="D35" s="14"/>
      <c r="E35" s="14"/>
      <c r="F35" s="14"/>
      <c r="G35" s="14"/>
    </row>
    <row r="36" customFormat="false" ht="15" hidden="false" customHeight="false" outlineLevel="0" collapsed="false">
      <c r="A36" s="14"/>
      <c r="B36" s="14"/>
      <c r="C36" s="14"/>
      <c r="D36" s="14"/>
      <c r="E36" s="14"/>
      <c r="F36" s="14"/>
      <c r="G36" s="14"/>
    </row>
    <row r="37" customFormat="false" ht="15" hidden="false" customHeight="false" outlineLevel="0" collapsed="false">
      <c r="A37" s="14"/>
      <c r="B37" s="14"/>
      <c r="C37" s="14"/>
      <c r="D37" s="14"/>
      <c r="E37" s="14"/>
      <c r="F37" s="14"/>
      <c r="G37" s="14"/>
    </row>
    <row r="38" customFormat="false" ht="15" hidden="false" customHeight="false" outlineLevel="0" collapsed="false">
      <c r="A38" s="14"/>
      <c r="B38" s="14"/>
      <c r="C38" s="14"/>
      <c r="D38" s="14"/>
      <c r="E38" s="14"/>
      <c r="F38" s="14"/>
      <c r="G38" s="14"/>
    </row>
    <row r="39" customFormat="false" ht="15" hidden="false" customHeight="false" outlineLevel="0" collapsed="false">
      <c r="A39" s="14"/>
      <c r="B39" s="14"/>
      <c r="C39" s="14"/>
      <c r="D39" s="14"/>
      <c r="E39" s="14"/>
      <c r="F39" s="14"/>
      <c r="G39" s="14"/>
    </row>
    <row r="40" customFormat="false" ht="15" hidden="false" customHeight="false" outlineLevel="0" collapsed="false">
      <c r="A40" s="14"/>
      <c r="B40" s="14"/>
      <c r="C40" s="14"/>
      <c r="D40" s="14"/>
      <c r="E40" s="14"/>
      <c r="F40" s="14"/>
      <c r="G40" s="14"/>
    </row>
    <row r="42" customFormat="false" ht="15" hidden="false" customHeight="false" outlineLevel="0" collapsed="false">
      <c r="A42" s="13" t="s">
        <v>338</v>
      </c>
    </row>
  </sheetData>
  <dataValidations count="2">
    <dataValidation allowBlank="true" errorStyle="stop" operator="between" showDropDown="false" showErrorMessage="false" showInputMessage="false" sqref="D2:D40" type="list">
      <formula1>"Pass,Fail"</formula1>
      <formula2>0</formula2>
    </dataValidation>
    <dataValidation allowBlank="true" errorStyle="stop" operator="between" showDropDown="false" showErrorMessage="false" showInputMessage="false" sqref="F2:F40" type="list">
      <formula1>"Closed,Reopened,Open"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2026-10-23T13:44:03Z</dcterms:created>
  <dc:creator>openpyxl</dc:creator>
  <dc:description/>
  <dc:language>en-US</dc:language>
  <cp:lastModifiedBy/>
  <dcterms:modified xsi:type="dcterms:W3CDTF">2026-10-23T13:44:03Z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